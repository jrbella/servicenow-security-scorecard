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corecard" sheetId="2" state="visible" r:id="rId4"/>
    <sheet name="Summary" sheetId="3" state="visible" r:id="rId5"/>
    <sheet name="Reference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<sst xmlns="http://schemas.openxmlformats.org/spreadsheetml/2006/main" count="384" uniqueCount="270">
  <si>
    <t xml:space="preserve">ServiceNow Instance Security Scorecard</t>
  </si>
  <si>
    <t xml:space="preserve">A self-assessment of your instance's security posture</t>
  </si>
  <si>
    <t xml:space="preserve">Prepared by Jeffrey Bella II</t>
  </si>
  <si>
    <t xml:space="preserve">Connect on LinkedIn: linkedin.com/in/jeffrey-bella-965873112</t>
  </si>
  <si>
    <t xml:space="preserve">How to use</t>
  </si>
  <si>
    <t xml:space="preserve">1. Go to the Scorecard tab. For each control, set Maturity (0-3) in the yellow column.</t>
  </si>
  <si>
    <t xml:space="preserve">2. Use the Where to check column to find each setting in your instance.</t>
  </si>
  <si>
    <t xml:space="preserve">3. Use Owner and Notes / Evidence to record responsibility and proof.</t>
  </si>
  <si>
    <t xml:space="preserve">4. The Summary tab updates automatically with your score, tier, and category breakdown.</t>
  </si>
  <si>
    <t xml:space="preserve">5. Re-run quarterly and watch the trend. Movement matters more than any single number.</t>
  </si>
  <si>
    <t xml:space="preserve">Maturity scale</t>
  </si>
  <si>
    <t xml:space="preserve">0  Not implemented</t>
  </si>
  <si>
    <t xml:space="preserve">1  Partially implemented</t>
  </si>
  <si>
    <t xml:space="preserve">2  Largely implemented</t>
  </si>
  <si>
    <t xml:space="preserve">3  Fully implemented and verified</t>
  </si>
  <si>
    <t xml:space="preserve">N/A  Not applicable to this instance (excluded from scoring)</t>
  </si>
  <si>
    <t xml:space="preserve">How scoring works</t>
  </si>
  <si>
    <t xml:space="preserve">Each control is weighted by criticality: Critical = 3, High = 2, Medium = 1.</t>
  </si>
  <si>
    <t xml:space="preserve">Score = maturity x weight. Category and overall scores are the percent of the maximum possible.</t>
  </si>
  <si>
    <t xml:space="preserve">Controls set to N/A are removed from the calculation, so they never count against you.</t>
  </si>
  <si>
    <t xml:space="preserve">Tiers: At Risk (0-25%), Developing (26-50%), Defined (51-75%), Managed (76-90%), Optimized (91-100%).</t>
  </si>
  <si>
    <t xml:space="preserve">Where to check</t>
  </si>
  <si>
    <t xml:space="preserve">These are starting locations. Exact property names and paths vary by release. Security Center &gt; Hardening is the fastest source of truth for the technical settings; it scores many of them automatically.</t>
  </si>
  <si>
    <t xml:space="preserve">Note</t>
  </si>
  <si>
    <t xml:space="preserve">This is an independent self-assessment aid, not an official ServiceNow product, and not a substitute for a formal audit. Adapt the controls to your release, plugins, and risk profile.</t>
  </si>
  <si>
    <t xml:space="preserve">Category</t>
  </si>
  <si>
    <t xml:space="preserve">ID</t>
  </si>
  <si>
    <t xml:space="preserve">Control</t>
  </si>
  <si>
    <t xml:space="preserve">Why it matters</t>
  </si>
  <si>
    <t xml:space="preserve">Criticality</t>
  </si>
  <si>
    <t xml:space="preserve">Weight</t>
  </si>
  <si>
    <t xml:space="preserve">Maturity (0-3)</t>
  </si>
  <si>
    <t xml:space="preserve">Score</t>
  </si>
  <si>
    <t xml:space="preserve">Max</t>
  </si>
  <si>
    <t xml:space="preserve">Owner</t>
  </si>
  <si>
    <t xml:space="preserve">Notes / Evidence</t>
  </si>
  <si>
    <t xml:space="preserve">Access Control &amp; Authorization</t>
  </si>
  <si>
    <t xml:space="preserve">AC-01</t>
  </si>
  <si>
    <t xml:space="preserve">Least-privilege ACLs; no overly permissive table/field ACLs</t>
  </si>
  <si>
    <t xml:space="preserve">Broad ACLs are the most common path to unauthorized data access</t>
  </si>
  <si>
    <t xml:space="preserve">System Security &gt; Access Control (ACL); review wildcard and table ACLs</t>
  </si>
  <si>
    <t xml:space="preserve">Critical</t>
  </si>
  <si>
    <t xml:space="preserve">AC-02</t>
  </si>
  <si>
    <t xml:space="preserve">Default-deny security model enforced</t>
  </si>
  <si>
    <t xml:space="preserve">Without default deny, new tables can be world-readable</t>
  </si>
  <si>
    <t xml:space="preserve">Security Center &gt; Hardening (default deny settings)</t>
  </si>
  <si>
    <t xml:space="preserve">AC-03</t>
  </si>
  <si>
    <t xml:space="preserve">Admin role membership reviewed and minimized</t>
  </si>
  <si>
    <t xml:space="preserve">Excess admins expand the blast radius of any compromised account</t>
  </si>
  <si>
    <t xml:space="preserve">User Administration &gt; Users; filter by admin role</t>
  </si>
  <si>
    <t xml:space="preserve">AC-04</t>
  </si>
  <si>
    <t xml:space="preserve">High-security elevation (security_admin) required for sensitive ops</t>
  </si>
  <si>
    <t xml:space="preserve">Elevation prevents standing privileged access</t>
  </si>
  <si>
    <t xml:space="preserve">Elevate role menu; High Security Settings</t>
  </si>
  <si>
    <t xml:space="preserve">High</t>
  </si>
  <si>
    <t xml:space="preserve">AC-05</t>
  </si>
  <si>
    <t xml:space="preserve">Explicit Roles active where external users exist (snc_internal present)</t>
  </si>
  <si>
    <t xml:space="preserve">Stops empty role-less ACLs from resolving to open; critical once external users exist</t>
  </si>
  <si>
    <t xml:space="preserve">sys_user_role: is snc_internal present? Not shown in the plugin list. Mark N/A if no external users</t>
  </si>
  <si>
    <t xml:space="preserve">AC-06</t>
  </si>
  <si>
    <t xml:space="preserve">Row-level / contextual security on sensitive tables</t>
  </si>
  <si>
    <t xml:space="preserve">Protects sensitive records beyond table-level ACLs</t>
  </si>
  <si>
    <t xml:space="preserve">Access Control (ACL) records on sensitive tables</t>
  </si>
  <si>
    <t xml:space="preserve">AC-07</t>
  </si>
  <si>
    <t xml:space="preserve">Guest and public-facing access reviewed and restricted</t>
  </si>
  <si>
    <t xml:space="preserve">Public pages are a common unauthenticated exposure</t>
  </si>
  <si>
    <t xml:space="preserve">Users (guest/public); Service Portal public pages</t>
  </si>
  <si>
    <t xml:space="preserve">AC-08</t>
  </si>
  <si>
    <t xml:space="preserve">Separation of duties enforced for sensitive role combinations</t>
  </si>
  <si>
    <t xml:space="preserve">Prevents one user from holding conflicting privileges</t>
  </si>
  <si>
    <t xml:space="preserve">Roles and role assignments; review conflicts</t>
  </si>
  <si>
    <t xml:space="preserve">Medium</t>
  </si>
  <si>
    <t xml:space="preserve">Authentication &amp; Identity</t>
  </si>
  <si>
    <t xml:space="preserve">AU-01</t>
  </si>
  <si>
    <t xml:space="preserve">Strong password policy (length, complexity, history, expiry)</t>
  </si>
  <si>
    <t xml:space="preserve">Weak passwords remain a leading breach vector</t>
  </si>
  <si>
    <t xml:space="preserve">Security Center &gt; Hardening; password properties</t>
  </si>
  <si>
    <t xml:space="preserve">AU-02</t>
  </si>
  <si>
    <t xml:space="preserve">MFA enforced for all interactive users</t>
  </si>
  <si>
    <t xml:space="preserve">MFA blocks the majority of credential-based attacks</t>
  </si>
  <si>
    <t xml:space="preserve">Multi-factor authentication setup (glide.authenticate.multifactor)</t>
  </si>
  <si>
    <t xml:space="preserve">AU-03</t>
  </si>
  <si>
    <t xml:space="preserve">MFA required for all privileged and admin accounts</t>
  </si>
  <si>
    <t xml:space="preserve">Privileged accounts are the highest-value targets</t>
  </si>
  <si>
    <t xml:space="preserve">MFA enforcement scope for admin roles</t>
  </si>
  <si>
    <t xml:space="preserve">AU-04</t>
  </si>
  <si>
    <t xml:space="preserve">SSO/SAML integrated with corporate identity provider</t>
  </si>
  <si>
    <t xml:space="preserve">Centralizes identity, deprovisioning, and policy</t>
  </si>
  <si>
    <t xml:space="preserve">Multi-Provider SSO configuration</t>
  </si>
  <si>
    <t xml:space="preserve">AU-05</t>
  </si>
  <si>
    <t xml:space="preserve">Account lockout after repeated failed logins</t>
  </si>
  <si>
    <t xml:space="preserve">Slows brute-force and password-spray attacks</t>
  </si>
  <si>
    <t xml:space="preserve">Security Center &gt; Hardening; failed-login lockout</t>
  </si>
  <si>
    <t xml:space="preserve">AU-06</t>
  </si>
  <si>
    <t xml:space="preserve">Local (non-federated) accounts minimized and justified</t>
  </si>
  <si>
    <t xml:space="preserve">Local accounts bypass central identity controls</t>
  </si>
  <si>
    <t xml:space="preserve">Users: local vs SSO source</t>
  </si>
  <si>
    <t xml:space="preserve">Session Management</t>
  </si>
  <si>
    <t xml:space="preserve">SM-01</t>
  </si>
  <si>
    <t xml:space="preserve">Inactivity session timeout configured</t>
  </si>
  <si>
    <t xml:space="preserve">Limits exposure of unattended authenticated sessions</t>
  </si>
  <si>
    <t xml:space="preserve">Security Center &gt; Hardening; glide.ui.session_timeout</t>
  </si>
  <si>
    <t xml:space="preserve">SM-02</t>
  </si>
  <si>
    <t xml:space="preserve">Absolute session timeout enforced</t>
  </si>
  <si>
    <t xml:space="preserve">Caps total session lifetime regardless of activity</t>
  </si>
  <si>
    <t xml:space="preserve">Session properties; absolute timeout</t>
  </si>
  <si>
    <t xml:space="preserve">SM-03</t>
  </si>
  <si>
    <t xml:space="preserve">Anti-CSRF token enforcement enabled</t>
  </si>
  <si>
    <t xml:space="preserve">Prevents cross-site request forgery against users</t>
  </si>
  <si>
    <t xml:space="preserve">Security Center &gt; Hardening; glide.security.use_csrf_token</t>
  </si>
  <si>
    <t xml:space="preserve">SM-04</t>
  </si>
  <si>
    <t xml:space="preserve">Session cookies secured (HTTPOnly and Secure flags)</t>
  </si>
  <si>
    <t xml:space="preserve">Protects session tokens from theft</t>
  </si>
  <si>
    <t xml:space="preserve">Security Center &gt; Hardening; secure cookie settings</t>
  </si>
  <si>
    <t xml:space="preserve">SM-05</t>
  </si>
  <si>
    <t xml:space="preserve">Concurrent session and window controls applied</t>
  </si>
  <si>
    <t xml:space="preserve">Detects and limits session sharing or hijacking</t>
  </si>
  <si>
    <t xml:space="preserve">Session monitoring; concurrent/window settings</t>
  </si>
  <si>
    <t xml:space="preserve">Instance Hardening</t>
  </si>
  <si>
    <t xml:space="preserve">IH-01</t>
  </si>
  <si>
    <t xml:space="preserve">High Security Settings plugin enabled</t>
  </si>
  <si>
    <t xml:space="preserve">Baseline for many platform hardening defaults</t>
  </si>
  <si>
    <t xml:space="preserve">System Definition &gt; Plugins (High Security Settings)</t>
  </si>
  <si>
    <t xml:space="preserve">IH-02</t>
  </si>
  <si>
    <t xml:space="preserve">URL allow-list configured for redirects</t>
  </si>
  <si>
    <t xml:space="preserve">Blocks open-redirect and phishing pivots</t>
  </si>
  <si>
    <t xml:space="preserve">Security Center &gt; Hardening; glide.security.url.whitelist</t>
  </si>
  <si>
    <t xml:space="preserve">IH-03</t>
  </si>
  <si>
    <t xml:space="preserve">Clickjacking / iframe embedding protection enabled</t>
  </si>
  <si>
    <t xml:space="preserve">Prevents UI-redress attacks</t>
  </si>
  <si>
    <t xml:space="preserve">Security Center &gt; Hardening; iframe / X-Frame-Options</t>
  </si>
  <si>
    <t xml:space="preserve">IH-04</t>
  </si>
  <si>
    <t xml:space="preserve">Content Security Policy configured</t>
  </si>
  <si>
    <t xml:space="preserve">Reduces cross-site scripting and injection impact</t>
  </si>
  <si>
    <t xml:space="preserve">Security Center &gt; Hardening; Content Security Policy</t>
  </si>
  <si>
    <t xml:space="preserve">IH-05</t>
  </si>
  <si>
    <t xml:space="preserve">HSTS enabled to force HTTPS</t>
  </si>
  <si>
    <t xml:space="preserve">Prevents protocol-downgrade interception</t>
  </si>
  <si>
    <t xml:space="preserve">Security Center &gt; Hardening; HSTS</t>
  </si>
  <si>
    <t xml:space="preserve">IH-06</t>
  </si>
  <si>
    <t xml:space="preserve">Unused legacy endpoints and processors disabled</t>
  </si>
  <si>
    <t xml:space="preserve">Shrinks the attack surface</t>
  </si>
  <si>
    <t xml:space="preserve">Security Center &gt; Hardening; disable unused processors/SOAP</t>
  </si>
  <si>
    <t xml:space="preserve">IH-07</t>
  </si>
  <si>
    <t xml:space="preserve">IP-based access control for admin and privileged access</t>
  </si>
  <si>
    <t xml:space="preserve">Restricts admin access to known networks</t>
  </si>
  <si>
    <t xml:space="preserve">Instance IP address access control / allow list</t>
  </si>
  <si>
    <t xml:space="preserve">Service Account Governance</t>
  </si>
  <si>
    <t xml:space="preserve">SA-01</t>
  </si>
  <si>
    <t xml:space="preserve">Complete inventory of service and integration accounts</t>
  </si>
  <si>
    <t xml:space="preserve">You cannot govern accounts you cannot see</t>
  </si>
  <si>
    <t xml:space="preserve">Users flagged integration / web-service; build inventory</t>
  </si>
  <si>
    <t xml:space="preserve">SA-02</t>
  </si>
  <si>
    <t xml:space="preserve">Service accounts follow least privilege (no default admin)</t>
  </si>
  <si>
    <t xml:space="preserve">Over-privileged integrations are a top lateral-movement risk</t>
  </si>
  <si>
    <t xml:space="preserve">Service account users; roles held (check for admin)</t>
  </si>
  <si>
    <t xml:space="preserve">SA-03</t>
  </si>
  <si>
    <t xml:space="preserve">Named human owner assigned to every service account</t>
  </si>
  <si>
    <t xml:space="preserve">Ownership enables accountability and offboarding</t>
  </si>
  <si>
    <t xml:space="preserve">Service account user records; owner/manager field</t>
  </si>
  <si>
    <t xml:space="preserve">SA-04</t>
  </si>
  <si>
    <t xml:space="preserve">Credential rotation policy defined and followed</t>
  </si>
  <si>
    <t xml:space="preserve">Static long-lived credentials are high-value targets</t>
  </si>
  <si>
    <t xml:space="preserve">Connection &amp; Credential records; rotation evidence</t>
  </si>
  <si>
    <t xml:space="preserve">SA-05</t>
  </si>
  <si>
    <t xml:space="preserve">Service accounts classified (internal, external, web-service-only)</t>
  </si>
  <si>
    <t xml:space="preserve">Classification drives the correct controls per account type</t>
  </si>
  <si>
    <t xml:space="preserve">Users: internal/external; web-service-access-only flag</t>
  </si>
  <si>
    <t xml:space="preserve">SA-06</t>
  </si>
  <si>
    <t xml:space="preserve">Interactive login disabled for non-human accounts</t>
  </si>
  <si>
    <t xml:space="preserve">Service accounts should not log in like users</t>
  </si>
  <si>
    <t xml:space="preserve">User record: Web service access only = true</t>
  </si>
  <si>
    <t xml:space="preserve">SA-07</t>
  </si>
  <si>
    <t xml:space="preserve">Service account activity monitored and alerted</t>
  </si>
  <si>
    <t xml:space="preserve">Detects misuse of integration credentials</t>
  </si>
  <si>
    <t xml:space="preserve">Login/transaction logs for service accounts; alerts</t>
  </si>
  <si>
    <t xml:space="preserve">Data Protection</t>
  </si>
  <si>
    <t xml:space="preserve">DP-01</t>
  </si>
  <si>
    <t xml:space="preserve">Sensitive fields encrypted (column-level or edge)</t>
  </si>
  <si>
    <t xml:space="preserve">Protects regulated data at rest</t>
  </si>
  <si>
    <t xml:space="preserve">Column-level / Edge Encryption configuration</t>
  </si>
  <si>
    <t xml:space="preserve">DP-02</t>
  </si>
  <si>
    <t xml:space="preserve">Data classification applied to sensitive tables and fields</t>
  </si>
  <si>
    <t xml:space="preserve">Classification is the basis for proportionate controls</t>
  </si>
  <si>
    <t xml:space="preserve">Data classification on sensitive tables/fields</t>
  </si>
  <si>
    <t xml:space="preserve">DP-03</t>
  </si>
  <si>
    <t xml:space="preserve">Attachment controls: allowed types restricted, malware scanning</t>
  </si>
  <si>
    <t xml:space="preserve">Attachments are a common malware and exfiltration channel</t>
  </si>
  <si>
    <t xml:space="preserve">System Properties: attachment type allow-list; scanning</t>
  </si>
  <si>
    <t xml:space="preserve">DP-04</t>
  </si>
  <si>
    <t xml:space="preserve">PII handling and masking implemented</t>
  </si>
  <si>
    <t xml:space="preserve">Limits unnecessary exposure of personal data</t>
  </si>
  <si>
    <t xml:space="preserve">Sensitive fields; data masking configuration</t>
  </si>
  <si>
    <t xml:space="preserve">DP-05</t>
  </si>
  <si>
    <t xml:space="preserve">Database views and data exports access-controlled</t>
  </si>
  <si>
    <t xml:space="preserve">Exports can bypass record-level protections</t>
  </si>
  <si>
    <t xml:space="preserve">Database views; export ACLs / restrictions</t>
  </si>
  <si>
    <t xml:space="preserve">Integration &amp; API Security</t>
  </si>
  <si>
    <t xml:space="preserve">IN-01</t>
  </si>
  <si>
    <t xml:space="preserve">Inbound REST/SOAP requires authentication (no anonymous)</t>
  </si>
  <si>
    <t xml:space="preserve">Anonymous endpoints are direct exposure</t>
  </si>
  <si>
    <t xml:space="preserve">Web service ACLs; check for anonymous access</t>
  </si>
  <si>
    <t xml:space="preserve">IN-02</t>
  </si>
  <si>
    <t xml:space="preserve">OAuth 2.0 used for integrations where supported</t>
  </si>
  <si>
    <t xml:space="preserve">Token-based auth beats shared static credentials</t>
  </si>
  <si>
    <t xml:space="preserve">System OAuth &gt; Application Registry</t>
  </si>
  <si>
    <t xml:space="preserve">IN-03</t>
  </si>
  <si>
    <t xml:space="preserve">Inbound integration accounts scoped and monitored</t>
  </si>
  <si>
    <t xml:space="preserve">Limits what a compromised integration can reach</t>
  </si>
  <si>
    <t xml:space="preserve">Integration user roles and scope</t>
  </si>
  <si>
    <t xml:space="preserve">IN-04</t>
  </si>
  <si>
    <t xml:space="preserve">API rate limiting and inbound throttling configured</t>
  </si>
  <si>
    <t xml:space="preserve">Mitigates abuse and denial-of-service</t>
  </si>
  <si>
    <t xml:space="preserve">REST API rate-limit rules</t>
  </si>
  <si>
    <t xml:space="preserve">IN-05</t>
  </si>
  <si>
    <t xml:space="preserve">Outbound integrations use TLS and vaulted credentials</t>
  </si>
  <si>
    <t xml:space="preserve">Protects credentials and data in transit</t>
  </si>
  <si>
    <t xml:space="preserve">Outbound connections; Connection &amp; Credential store</t>
  </si>
  <si>
    <t xml:space="preserve">Logging &amp; Monitoring</t>
  </si>
  <si>
    <t xml:space="preserve">LO-01</t>
  </si>
  <si>
    <t xml:space="preserve">Field-level auditing enabled on sensitive tables</t>
  </si>
  <si>
    <t xml:space="preserve">Provides a forensic trail for sensitive changes</t>
  </si>
  <si>
    <t xml:space="preserve">Dictionary: Audit flag on sensitive fields; sys_audit</t>
  </si>
  <si>
    <t xml:space="preserve">LO-02</t>
  </si>
  <si>
    <t xml:space="preserve">Security events forwarded to a SIEM</t>
  </si>
  <si>
    <t xml:space="preserve">Enables central detection and response</t>
  </si>
  <si>
    <t xml:space="preserve">Event/log export integration to SIEM</t>
  </si>
  <si>
    <t xml:space="preserve">LO-03</t>
  </si>
  <si>
    <t xml:space="preserve">Login and transaction logs retained per policy</t>
  </si>
  <si>
    <t xml:space="preserve">Supports investigation and compliance</t>
  </si>
  <si>
    <t xml:space="preserve">Log retention properties / policy</t>
  </si>
  <si>
    <t xml:space="preserve">LO-04</t>
  </si>
  <si>
    <t xml:space="preserve">Instance hardening / compliance score monitored over time</t>
  </si>
  <si>
    <t xml:space="preserve">Tracks drift in security posture</t>
  </si>
  <si>
    <t xml:space="preserve">Security Center &gt; Hardening; score trend</t>
  </si>
  <si>
    <t xml:space="preserve">LO-05</t>
  </si>
  <si>
    <t xml:space="preserve">Alerting configured for high-risk security events</t>
  </si>
  <si>
    <t xml:space="preserve">Turns logs into timely response</t>
  </si>
  <si>
    <t xml:space="preserve">Security event alerts / notifications</t>
  </si>
  <si>
    <t xml:space="preserve">Email &amp; Notification Security</t>
  </si>
  <si>
    <t xml:space="preserve">EM-01</t>
  </si>
  <si>
    <t xml:space="preserve">Inbound email actions restricted and validated</t>
  </si>
  <si>
    <t xml:space="preserve">Inbound email can trigger unintended automation</t>
  </si>
  <si>
    <t xml:space="preserve">System Policy &gt; Email &gt; Inbound Actions</t>
  </si>
  <si>
    <t xml:space="preserve">EM-02</t>
  </si>
  <si>
    <t xml:space="preserve">Outbound email restricted in non-production instances</t>
  </si>
  <si>
    <t xml:space="preserve">Prevents test instances emailing real users</t>
  </si>
  <si>
    <t xml:space="preserve">Email properties; outbound restriction in sub-prod</t>
  </si>
  <si>
    <t xml:space="preserve">EM-03</t>
  </si>
  <si>
    <t xml:space="preserve">Sender and spam filtering configured</t>
  </si>
  <si>
    <t xml:space="preserve">Reduces phishing and spoofed inbound mail</t>
  </si>
  <si>
    <t xml:space="preserve">Email properties; sender/spam filtering</t>
  </si>
  <si>
    <t xml:space="preserve">EXAMPLE - Typical default PDI baseline. Verify every value against your actual instance.</t>
  </si>
  <si>
    <t xml:space="preserve">linkedin.com/in/jeffrey-bella-965873112</t>
  </si>
  <si>
    <t xml:space="preserve">OVERALL POSTURE</t>
  </si>
  <si>
    <t xml:space="preserve">Maturity tier</t>
  </si>
  <si>
    <t xml:space="preserve">Controls</t>
  </si>
  <si>
    <t xml:space="preserve">Maturity tiers</t>
  </si>
  <si>
    <t xml:space="preserve">At Risk</t>
  </si>
  <si>
    <t xml:space="preserve">0 - 25%</t>
  </si>
  <si>
    <t xml:space="preserve">Developing</t>
  </si>
  <si>
    <t xml:space="preserve">26 - 50%</t>
  </si>
  <si>
    <t xml:space="preserve">Defined</t>
  </si>
  <si>
    <t xml:space="preserve">51 - 75%</t>
  </si>
  <si>
    <t xml:space="preserve">Managed</t>
  </si>
  <si>
    <t xml:space="preserve">76 - 90%</t>
  </si>
  <si>
    <t xml:space="preserve">Optimized</t>
  </si>
  <si>
    <t xml:space="preserve">91 - 100%</t>
  </si>
  <si>
    <t xml:space="preserve">LowerBound</t>
  </si>
  <si>
    <t xml:space="preserve">Tier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</si>
</sst>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Calibri"/>
      <family val="0"/>
      <charset val="1"/>
    </font>
    <font>
      <sz val="11"/>
      <color rgb="FF606060"/>
      <name val="Calibri"/>
      <family val="0"/>
      <charset val="1"/>
    </font>
    <font>
      <sz val="10"/>
      <color rgb="FF606060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3"/>
      <color rgb="FF2E5E4E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8"/>
      <color rgb="FF1F2A44"/>
      <name val="Calibri"/>
      <family val="0"/>
      <charset val="1"/>
    </font>
    <font>
      <b val="true"/>
      <sz val="11"/>
      <color rgb="FFB7791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2E5E4E"/>
      <name val="Calibri"/>
      <family val="0"/>
      <charset val="1"/>
    </font>
    <font>
      <b val="true"/>
      <sz val="11"/>
      <color rgb="FF1F2A4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4EEE9"/>
        <bgColor rgb="FFFFF2CC"/>
      </patternFill>
    </fill>
    <fill>
      <patternFill patternType="solid">
        <fgColor rgb="FFFFF6CC"/>
        <bgColor rgb="FFFFF2CC"/>
      </patternFill>
    </fill>
    <fill>
      <patternFill patternType="solid">
        <fgColor rgb="FFFFFFFF"/>
        <bgColor rgb="FFFFF6CC"/>
      </patternFill>
    </fill>
    <fill>
      <patternFill patternType="solid">
        <fgColor rgb="FFFFF2CC"/>
        <bgColor rgb="FFFFF6CC"/>
      </patternFill>
    </fill>
    <fill>
      <patternFill patternType="solid">
        <fgColor rgb="FF2E5E4E"/>
        <bgColor rgb="FF6060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2E5E4E"/>
      <rgbColor rgb="FFC0C0C0"/>
      <rgbColor rgb="FF878787"/>
      <rgbColor rgb="FF9999FF"/>
      <rgbColor rgb="FF993366"/>
      <rgbColor rgb="FFFFF6CC"/>
      <rgbColor rgb="FFE4EEE9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Summary!B9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Summary!$A$10:$A$18</c:f>
              <c:strCache>
                <c:ptCount val="9"/>
                <c:pt idx="0">
                  <c:v>Access Control &amp; Authorization</c:v>
                </c:pt>
                <c:pt idx="1">
                  <c:v>Authentication &amp; Identity</c:v>
                </c:pt>
                <c:pt idx="2">
                  <c:v>Session Management</c:v>
                </c:pt>
                <c:pt idx="3">
                  <c:v>Instance Hardening</c:v>
                </c:pt>
                <c:pt idx="4">
                  <c:v>Service Account Governance</c:v>
                </c:pt>
                <c:pt idx="5">
                  <c:v>Data Protection</c:v>
                </c:pt>
                <c:pt idx="6">
                  <c:v>Integration &amp; API Security</c:v>
                </c:pt>
                <c:pt idx="7">
                  <c:v>Logging &amp; Monitoring</c:v>
                </c:pt>
                <c:pt idx="8">
                  <c:v>Email &amp; Notification Security</c:v>
                </c:pt>
              </c:strCache>
            </c:strRef>
          </c:cat>
          <c:val>
            <c:numRef>
              <c:f>Summary!$B$10:$B$18</c:f>
              <c:numCache>
                <c:formatCode>0.0%</c:formatCode>
                <c:ptCount val="9"/>
                <c:pt idx="0">
                  <c:v>0.333333333333333</c:v>
                </c:pt>
                <c:pt idx="1">
                  <c:v>0.0833333333333333</c:v>
                </c:pt>
                <c:pt idx="2">
                  <c:v>0.541666666666667</c:v>
                </c:pt>
                <c:pt idx="3">
                  <c:v>0.205128205128205</c:v>
                </c:pt>
                <c:pt idx="4">
                  <c:v>0</c:v>
                </c:pt>
                <c:pt idx="5">
                  <c:v>0.0833333333333333</c:v>
                </c:pt>
                <c:pt idx="6">
                  <c:v>0.185185185185185</c:v>
                </c:pt>
                <c:pt idx="7">
                  <c:v>0.125</c:v>
                </c:pt>
                <c:pt idx="8">
                  <c:v>0.333333333333333</c:v>
                </c:pt>
              </c:numCache>
            </c:numRef>
          </c:val>
        </c:ser>
        <c:gapWidth val="150"/>
        <c:overlap val="0"/>
        <c:axId val="41395212"/>
        <c:axId val="5989330"/>
      </c:barChart>
      <c:catAx>
        <c:axId val="41395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9330"/>
        <c:crosses val="autoZero"/>
        <c:auto val="1"/>
        <c:lblAlgn val="ctr"/>
        <c:lblOffset val="100"/>
        <c:noMultiLvlLbl val="0"/>
      </c:catAx>
      <c:valAx>
        <c:axId val="5989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952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141480</xdr:rowOff>
    </xdr:from>
    <xdr:to>
      <xdr:col>14</xdr:col>
      <xdr:colOff>364320</xdr:colOff>
      <xdr:row>23</xdr:row>
      <xdr:rowOff>142560</xdr:rowOff>
    </xdr:to>
    <xdr:graphicFrame>
      <xdr:nvGraphicFramePr>
        <xdr:cNvPr id="0" name="Chart 1"/>
        <xdr:cNvGraphicFramePr/>
      </xdr:nvGraphicFramePr>
      <xdr:xfrm>
        <a:off x="4933800" y="1523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in/jeffrey-bella-96587311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nkedin.com/in/jeffrey-bella-965873112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4" t="s">
        <v>3</v>
      </c>
    </row>
    <row r="6" customFormat="false" ht="17.15" hidden="false" customHeight="false" outlineLevel="0" collapsed="false">
      <c r="B6" s="5" t="s">
        <v>4</v>
      </c>
    </row>
    <row r="7" customFormat="false" ht="15.75" hidden="false" customHeight="true" outlineLevel="0" collapsed="false">
      <c r="B7" s="6" t="s">
        <v>5</v>
      </c>
    </row>
    <row r="8" customFormat="false" ht="15.75" hidden="false" customHeight="true" outlineLevel="0" collapsed="false">
      <c r="B8" s="6" t="s">
        <v>6</v>
      </c>
    </row>
    <row r="9" customFormat="false" ht="15.75" hidden="false" customHeight="true" outlineLevel="0" collapsed="false">
      <c r="B9" s="6" t="s">
        <v>7</v>
      </c>
    </row>
    <row r="10" customFormat="false" ht="15.75" hidden="false" customHeight="true" outlineLevel="0" collapsed="false">
      <c r="B10" s="6" t="s">
        <v>8</v>
      </c>
    </row>
    <row r="11" customFormat="false" ht="15.75" hidden="false" customHeight="true" outlineLevel="0" collapsed="false">
      <c r="B11" s="6" t="s">
        <v>9</v>
      </c>
    </row>
    <row r="13" customFormat="false" ht="17.15" hidden="false" customHeight="false" outlineLevel="0" collapsed="false">
      <c r="B13" s="5" t="s">
        <v>10</v>
      </c>
    </row>
    <row r="14" customFormat="false" ht="15" hidden="false" customHeight="false" outlineLevel="0" collapsed="false">
      <c r="B14" s="6" t="s">
        <v>11</v>
      </c>
    </row>
    <row r="15" customFormat="false" ht="15" hidden="false" customHeight="false" outlineLevel="0" collapsed="false">
      <c r="B15" s="6" t="s">
        <v>12</v>
      </c>
    </row>
    <row r="16" customFormat="false" ht="15" hidden="false" customHeight="false" outlineLevel="0" collapsed="false">
      <c r="B16" s="6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6" t="s">
        <v>15</v>
      </c>
    </row>
    <row r="20" customFormat="false" ht="17.15" hidden="false" customHeight="false" outlineLevel="0" collapsed="false">
      <c r="B20" s="5" t="s">
        <v>16</v>
      </c>
    </row>
    <row r="21" customFormat="false" ht="15.75" hidden="false" customHeight="true" outlineLevel="0" collapsed="false">
      <c r="B21" s="6" t="s">
        <v>17</v>
      </c>
    </row>
    <row r="22" customFormat="false" ht="15.75" hidden="false" customHeight="true" outlineLevel="0" collapsed="false">
      <c r="B22" s="6" t="s">
        <v>18</v>
      </c>
    </row>
    <row r="23" customFormat="false" ht="15.75" hidden="false" customHeight="true" outlineLevel="0" collapsed="false">
      <c r="B23" s="6" t="s">
        <v>19</v>
      </c>
    </row>
    <row r="24" customFormat="false" ht="15.75" hidden="false" customHeight="true" outlineLevel="0" collapsed="false">
      <c r="B24" s="6" t="s">
        <v>20</v>
      </c>
    </row>
    <row r="26" customFormat="false" ht="17.15" hidden="false" customHeight="false" outlineLevel="0" collapsed="false">
      <c r="B26" s="5" t="s">
        <v>21</v>
      </c>
    </row>
    <row r="27" customFormat="false" ht="30" hidden="false" customHeight="true" outlineLevel="0" collapsed="false">
      <c r="B27" s="7" t="s">
        <v>22</v>
      </c>
    </row>
    <row r="29" customFormat="false" ht="17.15" hidden="false" customHeight="false" outlineLevel="0" collapsed="false">
      <c r="B29" s="5" t="s">
        <v>23</v>
      </c>
    </row>
    <row r="30" customFormat="false" ht="30" hidden="false" customHeight="true" outlineLevel="0" collapsed="false">
      <c r="B30" s="7" t="s">
        <v>24</v>
      </c>
    </row>
  </sheetData>
  <hyperlinks>
    <hyperlink ref="B4" r:id="rId1" display="Connect on LinkedIn: linkedin.com/in/jeffrey-bella-96587311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15"/>
    <col collapsed="false" customWidth="true" hidden="false" outlineLevel="0" max="12" min="12" style="0" width="24"/>
  </cols>
  <sheetData>
    <row r="1" customFormat="false" ht="30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21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</row>
    <row r="2" customFormat="false" ht="23.85" hidden="false" customHeight="false" outlineLevel="0" collapsed="false">
      <c r="A2" s="9" t="s">
        <v>36</v>
      </c>
      <c r="B2" s="10" t="s">
        <v>37</v>
      </c>
      <c r="C2" s="9" t="s">
        <v>38</v>
      </c>
      <c r="D2" s="9" t="s">
        <v>39</v>
      </c>
      <c r="E2" s="9" t="s">
        <v>40</v>
      </c>
      <c r="F2" s="10" t="s">
        <v>41</v>
      </c>
      <c r="G2" s="10" t="n">
        <f aca="false">VLOOKUP(F2,Reference!$A$2:$B$4,2,FALSE())</f>
        <v>3</v>
      </c>
      <c r="H2" s="11" t="n">
        <v>1</v>
      </c>
      <c r="I2" s="10" t="n">
        <f aca="false">IF(H2="N/A","",G2*H2)</f>
        <v>3</v>
      </c>
      <c r="J2" s="10" t="n">
        <f aca="false">IF(H2="N/A","",G2*3)</f>
        <v>9</v>
      </c>
      <c r="K2" s="9"/>
      <c r="L2" s="9"/>
    </row>
    <row r="3" customFormat="false" ht="23.85" hidden="false" customHeight="false" outlineLevel="0" collapsed="false">
      <c r="A3" s="9" t="s">
        <v>36</v>
      </c>
      <c r="B3" s="10" t="s">
        <v>42</v>
      </c>
      <c r="C3" s="9" t="s">
        <v>43</v>
      </c>
      <c r="D3" s="9" t="s">
        <v>44</v>
      </c>
      <c r="E3" s="9" t="s">
        <v>45</v>
      </c>
      <c r="F3" s="10" t="s">
        <v>41</v>
      </c>
      <c r="G3" s="10" t="n">
        <f aca="false">VLOOKUP(F3,Reference!$A$2:$B$4,2,FALSE())</f>
        <v>3</v>
      </c>
      <c r="H3" s="11" t="n">
        <v>2</v>
      </c>
      <c r="I3" s="10" t="n">
        <f aca="false">IF(H3="N/A","",G3*H3)</f>
        <v>6</v>
      </c>
      <c r="J3" s="10" t="n">
        <f aca="false">IF(H3="N/A","",G3*3)</f>
        <v>9</v>
      </c>
      <c r="K3" s="9"/>
      <c r="L3" s="9"/>
    </row>
    <row r="4" customFormat="false" ht="23.85" hidden="false" customHeight="false" outlineLevel="0" collapsed="false">
      <c r="A4" s="9" t="s">
        <v>36</v>
      </c>
      <c r="B4" s="10" t="s">
        <v>46</v>
      </c>
      <c r="C4" s="9" t="s">
        <v>47</v>
      </c>
      <c r="D4" s="9" t="s">
        <v>48</v>
      </c>
      <c r="E4" s="9" t="s">
        <v>49</v>
      </c>
      <c r="F4" s="10" t="s">
        <v>41</v>
      </c>
      <c r="G4" s="10" t="n">
        <f aca="false">VLOOKUP(F4,Reference!$A$2:$B$4,2,FALSE())</f>
        <v>3</v>
      </c>
      <c r="H4" s="11" t="n">
        <v>1</v>
      </c>
      <c r="I4" s="10" t="n">
        <f aca="false">IF(H4="N/A","",G4*H4)</f>
        <v>3</v>
      </c>
      <c r="J4" s="10" t="n">
        <f aca="false">IF(H4="N/A","",G4*3)</f>
        <v>9</v>
      </c>
      <c r="K4" s="9"/>
      <c r="L4" s="9"/>
    </row>
    <row r="5" customFormat="false" ht="23.85" hidden="false" customHeight="false" outlineLevel="0" collapsed="false">
      <c r="A5" s="9" t="s">
        <v>36</v>
      </c>
      <c r="B5" s="10" t="s">
        <v>50</v>
      </c>
      <c r="C5" s="9" t="s">
        <v>51</v>
      </c>
      <c r="D5" s="9" t="s">
        <v>52</v>
      </c>
      <c r="E5" s="9" t="s">
        <v>53</v>
      </c>
      <c r="F5" s="10" t="s">
        <v>54</v>
      </c>
      <c r="G5" s="10" t="n">
        <f aca="false">VLOOKUP(F5,Reference!$A$2:$B$4,2,FALSE())</f>
        <v>2</v>
      </c>
      <c r="H5" s="11" t="n">
        <v>1</v>
      </c>
      <c r="I5" s="10" t="n">
        <f aca="false">IF(H5="N/A","",G5*H5)</f>
        <v>2</v>
      </c>
      <c r="J5" s="10" t="n">
        <f aca="false">IF(H5="N/A","",G5*3)</f>
        <v>6</v>
      </c>
      <c r="K5" s="9"/>
      <c r="L5" s="9"/>
    </row>
    <row r="6" customFormat="false" ht="35.05" hidden="false" customHeight="false" outlineLevel="0" collapsed="false">
      <c r="A6" s="9" t="s">
        <v>36</v>
      </c>
      <c r="B6" s="10" t="s">
        <v>55</v>
      </c>
      <c r="C6" s="9" t="s">
        <v>56</v>
      </c>
      <c r="D6" s="9" t="s">
        <v>57</v>
      </c>
      <c r="E6" s="9" t="s">
        <v>58</v>
      </c>
      <c r="F6" s="10" t="s">
        <v>54</v>
      </c>
      <c r="G6" s="10" t="n">
        <f aca="false">VLOOKUP(F6,Reference!$A$2:$B$4,2,FALSE())</f>
        <v>2</v>
      </c>
      <c r="H6" s="11" t="n">
        <v>0</v>
      </c>
      <c r="I6" s="10" t="n">
        <f aca="false">IF(H6="N/A","",G6*H6)</f>
        <v>0</v>
      </c>
      <c r="J6" s="10" t="n">
        <f aca="false">IF(H6="N/A","",G6*3)</f>
        <v>6</v>
      </c>
      <c r="K6" s="9"/>
      <c r="L6" s="9"/>
    </row>
    <row r="7" customFormat="false" ht="23.85" hidden="false" customHeight="false" outlineLevel="0" collapsed="false">
      <c r="A7" s="9" t="s">
        <v>36</v>
      </c>
      <c r="B7" s="10" t="s">
        <v>59</v>
      </c>
      <c r="C7" s="9" t="s">
        <v>60</v>
      </c>
      <c r="D7" s="9" t="s">
        <v>61</v>
      </c>
      <c r="E7" s="9" t="s">
        <v>62</v>
      </c>
      <c r="F7" s="10" t="s">
        <v>54</v>
      </c>
      <c r="G7" s="10" t="n">
        <f aca="false">VLOOKUP(F7,Reference!$A$2:$B$4,2,FALSE())</f>
        <v>2</v>
      </c>
      <c r="H7" s="11" t="n">
        <v>1</v>
      </c>
      <c r="I7" s="10" t="n">
        <f aca="false">IF(H7="N/A","",G7*H7)</f>
        <v>2</v>
      </c>
      <c r="J7" s="10" t="n">
        <f aca="false">IF(H7="N/A","",G7*3)</f>
        <v>6</v>
      </c>
      <c r="K7" s="9"/>
      <c r="L7" s="9"/>
    </row>
    <row r="8" customFormat="false" ht="23.85" hidden="false" customHeight="false" outlineLevel="0" collapsed="false">
      <c r="A8" s="9" t="s">
        <v>36</v>
      </c>
      <c r="B8" s="10" t="s">
        <v>63</v>
      </c>
      <c r="C8" s="9" t="s">
        <v>64</v>
      </c>
      <c r="D8" s="9" t="s">
        <v>65</v>
      </c>
      <c r="E8" s="9" t="s">
        <v>66</v>
      </c>
      <c r="F8" s="10" t="s">
        <v>54</v>
      </c>
      <c r="G8" s="10" t="n">
        <f aca="false">VLOOKUP(F8,Reference!$A$2:$B$4,2,FALSE())</f>
        <v>2</v>
      </c>
      <c r="H8" s="11" t="n">
        <v>1</v>
      </c>
      <c r="I8" s="10" t="n">
        <f aca="false">IF(H8="N/A","",G8*H8)</f>
        <v>2</v>
      </c>
      <c r="J8" s="10" t="n">
        <f aca="false">IF(H8="N/A","",G8*3)</f>
        <v>6</v>
      </c>
      <c r="K8" s="9"/>
      <c r="L8" s="9"/>
    </row>
    <row r="9" customFormat="false" ht="23.85" hidden="false" customHeight="false" outlineLevel="0" collapsed="false">
      <c r="A9" s="9" t="s">
        <v>36</v>
      </c>
      <c r="B9" s="10" t="s">
        <v>67</v>
      </c>
      <c r="C9" s="9" t="s">
        <v>68</v>
      </c>
      <c r="D9" s="9" t="s">
        <v>69</v>
      </c>
      <c r="E9" s="9" t="s">
        <v>70</v>
      </c>
      <c r="F9" s="10" t="s">
        <v>71</v>
      </c>
      <c r="G9" s="10" t="n">
        <f aca="false">VLOOKUP(F9,Reference!$A$2:$B$4,2,FALSE())</f>
        <v>1</v>
      </c>
      <c r="H9" s="11" t="n">
        <v>0</v>
      </c>
      <c r="I9" s="10" t="n">
        <f aca="false">IF(H9="N/A","",G9*H9)</f>
        <v>0</v>
      </c>
      <c r="J9" s="10" t="n">
        <f aca="false">IF(H9="N/A","",G9*3)</f>
        <v>3</v>
      </c>
      <c r="K9" s="9"/>
      <c r="L9" s="9"/>
    </row>
    <row r="10" customFormat="false" ht="23.85" hidden="false" customHeight="false" outlineLevel="0" collapsed="false">
      <c r="A10" s="12" t="s">
        <v>72</v>
      </c>
      <c r="B10" s="13" t="s">
        <v>73</v>
      </c>
      <c r="C10" s="12" t="s">
        <v>74</v>
      </c>
      <c r="D10" s="12" t="s">
        <v>75</v>
      </c>
      <c r="E10" s="12" t="s">
        <v>76</v>
      </c>
      <c r="F10" s="13" t="s">
        <v>54</v>
      </c>
      <c r="G10" s="13" t="n">
        <f aca="false">VLOOKUP(F10,Reference!$A$2:$B$4,2,FALSE())</f>
        <v>2</v>
      </c>
      <c r="H10" s="11" t="n">
        <v>1</v>
      </c>
      <c r="I10" s="13" t="n">
        <f aca="false">IF(H10="N/A","",G10*H10)</f>
        <v>2</v>
      </c>
      <c r="J10" s="13" t="n">
        <f aca="false">IF(H10="N/A","",G10*3)</f>
        <v>6</v>
      </c>
      <c r="K10" s="12"/>
      <c r="L10" s="12"/>
    </row>
    <row r="11" customFormat="false" ht="23.85" hidden="false" customHeight="false" outlineLevel="0" collapsed="false">
      <c r="A11" s="12" t="s">
        <v>72</v>
      </c>
      <c r="B11" s="13" t="s">
        <v>77</v>
      </c>
      <c r="C11" s="12" t="s">
        <v>78</v>
      </c>
      <c r="D11" s="12" t="s">
        <v>79</v>
      </c>
      <c r="E11" s="12" t="s">
        <v>80</v>
      </c>
      <c r="F11" s="13" t="s">
        <v>41</v>
      </c>
      <c r="G11" s="13" t="n">
        <f aca="false">VLOOKUP(F11,Reference!$A$2:$B$4,2,FALSE())</f>
        <v>3</v>
      </c>
      <c r="H11" s="11" t="n">
        <v>0</v>
      </c>
      <c r="I11" s="13" t="n">
        <f aca="false">IF(H11="N/A","",G11*H11)</f>
        <v>0</v>
      </c>
      <c r="J11" s="13" t="n">
        <f aca="false">IF(H11="N/A","",G11*3)</f>
        <v>9</v>
      </c>
      <c r="K11" s="12"/>
      <c r="L11" s="12"/>
    </row>
    <row r="12" customFormat="false" ht="23.85" hidden="false" customHeight="false" outlineLevel="0" collapsed="false">
      <c r="A12" s="12" t="s">
        <v>72</v>
      </c>
      <c r="B12" s="13" t="s">
        <v>81</v>
      </c>
      <c r="C12" s="12" t="s">
        <v>82</v>
      </c>
      <c r="D12" s="12" t="s">
        <v>83</v>
      </c>
      <c r="E12" s="12" t="s">
        <v>84</v>
      </c>
      <c r="F12" s="13" t="s">
        <v>41</v>
      </c>
      <c r="G12" s="13" t="n">
        <f aca="false">VLOOKUP(F12,Reference!$A$2:$B$4,2,FALSE())</f>
        <v>3</v>
      </c>
      <c r="H12" s="11" t="n">
        <v>0</v>
      </c>
      <c r="I12" s="13" t="n">
        <f aca="false">IF(H12="N/A","",G12*H12)</f>
        <v>0</v>
      </c>
      <c r="J12" s="13" t="n">
        <f aca="false">IF(H12="N/A","",G12*3)</f>
        <v>9</v>
      </c>
      <c r="K12" s="12"/>
      <c r="L12" s="12"/>
    </row>
    <row r="13" customFormat="false" ht="23.85" hidden="false" customHeight="false" outlineLevel="0" collapsed="false">
      <c r="A13" s="12" t="s">
        <v>72</v>
      </c>
      <c r="B13" s="13" t="s">
        <v>85</v>
      </c>
      <c r="C13" s="12" t="s">
        <v>86</v>
      </c>
      <c r="D13" s="12" t="s">
        <v>87</v>
      </c>
      <c r="E13" s="12" t="s">
        <v>88</v>
      </c>
      <c r="F13" s="13" t="s">
        <v>54</v>
      </c>
      <c r="G13" s="13" t="n">
        <f aca="false">VLOOKUP(F13,Reference!$A$2:$B$4,2,FALSE())</f>
        <v>2</v>
      </c>
      <c r="H13" s="11" t="n">
        <v>0</v>
      </c>
      <c r="I13" s="13" t="n">
        <f aca="false">IF(H13="N/A","",G13*H13)</f>
        <v>0</v>
      </c>
      <c r="J13" s="13" t="n">
        <f aca="false">IF(H13="N/A","",G13*3)</f>
        <v>6</v>
      </c>
      <c r="K13" s="12"/>
      <c r="L13" s="12"/>
    </row>
    <row r="14" customFormat="false" ht="23.85" hidden="false" customHeight="false" outlineLevel="0" collapsed="false">
      <c r="A14" s="12" t="s">
        <v>72</v>
      </c>
      <c r="B14" s="13" t="s">
        <v>89</v>
      </c>
      <c r="C14" s="12" t="s">
        <v>90</v>
      </c>
      <c r="D14" s="12" t="s">
        <v>91</v>
      </c>
      <c r="E14" s="12" t="s">
        <v>92</v>
      </c>
      <c r="F14" s="13" t="s">
        <v>71</v>
      </c>
      <c r="G14" s="13" t="n">
        <f aca="false">VLOOKUP(F14,Reference!$A$2:$B$4,2,FALSE())</f>
        <v>1</v>
      </c>
      <c r="H14" s="11" t="n">
        <v>1</v>
      </c>
      <c r="I14" s="13" t="n">
        <f aca="false">IF(H14="N/A","",G14*H14)</f>
        <v>1</v>
      </c>
      <c r="J14" s="13" t="n">
        <f aca="false">IF(H14="N/A","",G14*3)</f>
        <v>3</v>
      </c>
      <c r="K14" s="12"/>
      <c r="L14" s="12"/>
    </row>
    <row r="15" customFormat="false" ht="23.85" hidden="false" customHeight="false" outlineLevel="0" collapsed="false">
      <c r="A15" s="12" t="s">
        <v>72</v>
      </c>
      <c r="B15" s="13" t="s">
        <v>93</v>
      </c>
      <c r="C15" s="12" t="s">
        <v>94</v>
      </c>
      <c r="D15" s="12" t="s">
        <v>95</v>
      </c>
      <c r="E15" s="12" t="s">
        <v>96</v>
      </c>
      <c r="F15" s="13" t="s">
        <v>71</v>
      </c>
      <c r="G15" s="13" t="n">
        <f aca="false">VLOOKUP(F15,Reference!$A$2:$B$4,2,FALSE())</f>
        <v>1</v>
      </c>
      <c r="H15" s="11" t="n">
        <v>0</v>
      </c>
      <c r="I15" s="13" t="n">
        <f aca="false">IF(H15="N/A","",G15*H15)</f>
        <v>0</v>
      </c>
      <c r="J15" s="13" t="n">
        <f aca="false">IF(H15="N/A","",G15*3)</f>
        <v>3</v>
      </c>
      <c r="K15" s="12"/>
      <c r="L15" s="12"/>
    </row>
    <row r="16" customFormat="false" ht="23.85" hidden="false" customHeight="false" outlineLevel="0" collapsed="false">
      <c r="A16" s="9" t="s">
        <v>97</v>
      </c>
      <c r="B16" s="10" t="s">
        <v>98</v>
      </c>
      <c r="C16" s="9" t="s">
        <v>99</v>
      </c>
      <c r="D16" s="9" t="s">
        <v>100</v>
      </c>
      <c r="E16" s="9" t="s">
        <v>101</v>
      </c>
      <c r="F16" s="10" t="s">
        <v>54</v>
      </c>
      <c r="G16" s="10" t="n">
        <f aca="false">VLOOKUP(F16,Reference!$A$2:$B$4,2,FALSE())</f>
        <v>2</v>
      </c>
      <c r="H16" s="11" t="n">
        <v>2</v>
      </c>
      <c r="I16" s="10" t="n">
        <f aca="false">IF(H16="N/A","",G16*H16)</f>
        <v>4</v>
      </c>
      <c r="J16" s="10" t="n">
        <f aca="false">IF(H16="N/A","",G16*3)</f>
        <v>6</v>
      </c>
      <c r="K16" s="9"/>
      <c r="L16" s="9"/>
    </row>
    <row r="17" customFormat="false" ht="15" hidden="false" customHeight="false" outlineLevel="0" collapsed="false">
      <c r="A17" s="9" t="s">
        <v>97</v>
      </c>
      <c r="B17" s="10" t="s">
        <v>102</v>
      </c>
      <c r="C17" s="9" t="s">
        <v>103</v>
      </c>
      <c r="D17" s="9" t="s">
        <v>104</v>
      </c>
      <c r="E17" s="9" t="s">
        <v>105</v>
      </c>
      <c r="F17" s="10" t="s">
        <v>71</v>
      </c>
      <c r="G17" s="10" t="n">
        <f aca="false">VLOOKUP(F17,Reference!$A$2:$B$4,2,FALSE())</f>
        <v>1</v>
      </c>
      <c r="H17" s="11" t="n">
        <v>1</v>
      </c>
      <c r="I17" s="10" t="n">
        <f aca="false">IF(H17="N/A","",G17*H17)</f>
        <v>1</v>
      </c>
      <c r="J17" s="10" t="n">
        <f aca="false">IF(H17="N/A","",G17*3)</f>
        <v>3</v>
      </c>
      <c r="K17" s="9"/>
      <c r="L17" s="9"/>
    </row>
    <row r="18" customFormat="false" ht="23.85" hidden="false" customHeight="false" outlineLevel="0" collapsed="false">
      <c r="A18" s="9" t="s">
        <v>97</v>
      </c>
      <c r="B18" s="10" t="s">
        <v>106</v>
      </c>
      <c r="C18" s="9" t="s">
        <v>107</v>
      </c>
      <c r="D18" s="9" t="s">
        <v>108</v>
      </c>
      <c r="E18" s="9" t="s">
        <v>109</v>
      </c>
      <c r="F18" s="10" t="s">
        <v>54</v>
      </c>
      <c r="G18" s="10" t="n">
        <f aca="false">VLOOKUP(F18,Reference!$A$2:$B$4,2,FALSE())</f>
        <v>2</v>
      </c>
      <c r="H18" s="11" t="n">
        <v>2</v>
      </c>
      <c r="I18" s="10" t="n">
        <f aca="false">IF(H18="N/A","",G18*H18)</f>
        <v>4</v>
      </c>
      <c r="J18" s="10" t="n">
        <f aca="false">IF(H18="N/A","",G18*3)</f>
        <v>6</v>
      </c>
      <c r="K18" s="9"/>
      <c r="L18" s="9"/>
    </row>
    <row r="19" customFormat="false" ht="23.85" hidden="false" customHeight="false" outlineLevel="0" collapsed="false">
      <c r="A19" s="9" t="s">
        <v>97</v>
      </c>
      <c r="B19" s="10" t="s">
        <v>110</v>
      </c>
      <c r="C19" s="9" t="s">
        <v>111</v>
      </c>
      <c r="D19" s="9" t="s">
        <v>112</v>
      </c>
      <c r="E19" s="9" t="s">
        <v>113</v>
      </c>
      <c r="F19" s="10" t="s">
        <v>54</v>
      </c>
      <c r="G19" s="10" t="n">
        <f aca="false">VLOOKUP(F19,Reference!$A$2:$B$4,2,FALSE())</f>
        <v>2</v>
      </c>
      <c r="H19" s="11" t="n">
        <v>2</v>
      </c>
      <c r="I19" s="10" t="n">
        <f aca="false">IF(H19="N/A","",G19*H19)</f>
        <v>4</v>
      </c>
      <c r="J19" s="10" t="n">
        <f aca="false">IF(H19="N/A","",G19*3)</f>
        <v>6</v>
      </c>
      <c r="K19" s="9"/>
      <c r="L19" s="9"/>
    </row>
    <row r="20" customFormat="false" ht="23.85" hidden="false" customHeight="false" outlineLevel="0" collapsed="false">
      <c r="A20" s="9" t="s">
        <v>97</v>
      </c>
      <c r="B20" s="10" t="s">
        <v>114</v>
      </c>
      <c r="C20" s="9" t="s">
        <v>115</v>
      </c>
      <c r="D20" s="9" t="s">
        <v>116</v>
      </c>
      <c r="E20" s="9" t="s">
        <v>117</v>
      </c>
      <c r="F20" s="10" t="s">
        <v>71</v>
      </c>
      <c r="G20" s="10" t="n">
        <f aca="false">VLOOKUP(F20,Reference!$A$2:$B$4,2,FALSE())</f>
        <v>1</v>
      </c>
      <c r="H20" s="11" t="n">
        <v>0</v>
      </c>
      <c r="I20" s="10" t="n">
        <f aca="false">IF(H20="N/A","",G20*H20)</f>
        <v>0</v>
      </c>
      <c r="J20" s="10" t="n">
        <f aca="false">IF(H20="N/A","",G20*3)</f>
        <v>3</v>
      </c>
      <c r="K20" s="9"/>
      <c r="L20" s="9"/>
    </row>
    <row r="21" customFormat="false" ht="23.85" hidden="false" customHeight="false" outlineLevel="0" collapsed="false">
      <c r="A21" s="12" t="s">
        <v>118</v>
      </c>
      <c r="B21" s="13" t="s">
        <v>119</v>
      </c>
      <c r="C21" s="12" t="s">
        <v>120</v>
      </c>
      <c r="D21" s="12" t="s">
        <v>121</v>
      </c>
      <c r="E21" s="12" t="s">
        <v>122</v>
      </c>
      <c r="F21" s="13" t="s">
        <v>41</v>
      </c>
      <c r="G21" s="13" t="n">
        <f aca="false">VLOOKUP(F21,Reference!$A$2:$B$4,2,FALSE())</f>
        <v>3</v>
      </c>
      <c r="H21" s="11" t="n">
        <v>1</v>
      </c>
      <c r="I21" s="13" t="n">
        <f aca="false">IF(H21="N/A","",G21*H21)</f>
        <v>3</v>
      </c>
      <c r="J21" s="13" t="n">
        <f aca="false">IF(H21="N/A","",G21*3)</f>
        <v>9</v>
      </c>
      <c r="K21" s="12"/>
      <c r="L21" s="12"/>
    </row>
    <row r="22" customFormat="false" ht="23.85" hidden="false" customHeight="false" outlineLevel="0" collapsed="false">
      <c r="A22" s="12" t="s">
        <v>118</v>
      </c>
      <c r="B22" s="13" t="s">
        <v>123</v>
      </c>
      <c r="C22" s="12" t="s">
        <v>124</v>
      </c>
      <c r="D22" s="12" t="s">
        <v>125</v>
      </c>
      <c r="E22" s="12" t="s">
        <v>126</v>
      </c>
      <c r="F22" s="13" t="s">
        <v>54</v>
      </c>
      <c r="G22" s="13" t="n">
        <f aca="false">VLOOKUP(F22,Reference!$A$2:$B$4,2,FALSE())</f>
        <v>2</v>
      </c>
      <c r="H22" s="11" t="n">
        <v>1</v>
      </c>
      <c r="I22" s="13" t="n">
        <f aca="false">IF(H22="N/A","",G22*H22)</f>
        <v>2</v>
      </c>
      <c r="J22" s="13" t="n">
        <f aca="false">IF(H22="N/A","",G22*3)</f>
        <v>6</v>
      </c>
      <c r="K22" s="12"/>
      <c r="L22" s="12"/>
    </row>
    <row r="23" customFormat="false" ht="23.85" hidden="false" customHeight="false" outlineLevel="0" collapsed="false">
      <c r="A23" s="12" t="s">
        <v>118</v>
      </c>
      <c r="B23" s="13" t="s">
        <v>127</v>
      </c>
      <c r="C23" s="12" t="s">
        <v>128</v>
      </c>
      <c r="D23" s="12" t="s">
        <v>129</v>
      </c>
      <c r="E23" s="12" t="s">
        <v>130</v>
      </c>
      <c r="F23" s="13" t="s">
        <v>54</v>
      </c>
      <c r="G23" s="13" t="n">
        <f aca="false">VLOOKUP(F23,Reference!$A$2:$B$4,2,FALSE())</f>
        <v>2</v>
      </c>
      <c r="H23" s="11" t="n">
        <v>1</v>
      </c>
      <c r="I23" s="13" t="n">
        <f aca="false">IF(H23="N/A","",G23*H23)</f>
        <v>2</v>
      </c>
      <c r="J23" s="13" t="n">
        <f aca="false">IF(H23="N/A","",G23*3)</f>
        <v>6</v>
      </c>
      <c r="K23" s="12"/>
      <c r="L23" s="12"/>
    </row>
    <row r="24" customFormat="false" ht="23.85" hidden="false" customHeight="false" outlineLevel="0" collapsed="false">
      <c r="A24" s="12" t="s">
        <v>118</v>
      </c>
      <c r="B24" s="13" t="s">
        <v>131</v>
      </c>
      <c r="C24" s="12" t="s">
        <v>132</v>
      </c>
      <c r="D24" s="12" t="s">
        <v>133</v>
      </c>
      <c r="E24" s="12" t="s">
        <v>134</v>
      </c>
      <c r="F24" s="13" t="s">
        <v>71</v>
      </c>
      <c r="G24" s="13" t="n">
        <f aca="false">VLOOKUP(F24,Reference!$A$2:$B$4,2,FALSE())</f>
        <v>1</v>
      </c>
      <c r="H24" s="11" t="n">
        <v>0</v>
      </c>
      <c r="I24" s="13" t="n">
        <f aca="false">IF(H24="N/A","",G24*H24)</f>
        <v>0</v>
      </c>
      <c r="J24" s="13" t="n">
        <f aca="false">IF(H24="N/A","",G24*3)</f>
        <v>3</v>
      </c>
      <c r="K24" s="12"/>
      <c r="L24" s="12"/>
    </row>
    <row r="25" customFormat="false" ht="15" hidden="false" customHeight="false" outlineLevel="0" collapsed="false">
      <c r="A25" s="12" t="s">
        <v>118</v>
      </c>
      <c r="B25" s="13" t="s">
        <v>135</v>
      </c>
      <c r="C25" s="12" t="s">
        <v>136</v>
      </c>
      <c r="D25" s="12" t="s">
        <v>137</v>
      </c>
      <c r="E25" s="12" t="s">
        <v>138</v>
      </c>
      <c r="F25" s="13" t="s">
        <v>71</v>
      </c>
      <c r="G25" s="13" t="n">
        <f aca="false">VLOOKUP(F25,Reference!$A$2:$B$4,2,FALSE())</f>
        <v>1</v>
      </c>
      <c r="H25" s="11" t="n">
        <v>1</v>
      </c>
      <c r="I25" s="13" t="n">
        <f aca="false">IF(H25="N/A","",G25*H25)</f>
        <v>1</v>
      </c>
      <c r="J25" s="13" t="n">
        <f aca="false">IF(H25="N/A","",G25*3)</f>
        <v>3</v>
      </c>
      <c r="K25" s="12"/>
      <c r="L25" s="12"/>
    </row>
    <row r="26" customFormat="false" ht="23.85" hidden="false" customHeight="false" outlineLevel="0" collapsed="false">
      <c r="A26" s="12" t="s">
        <v>118</v>
      </c>
      <c r="B26" s="13" t="s">
        <v>139</v>
      </c>
      <c r="C26" s="12" t="s">
        <v>140</v>
      </c>
      <c r="D26" s="12" t="s">
        <v>141</v>
      </c>
      <c r="E26" s="12" t="s">
        <v>142</v>
      </c>
      <c r="F26" s="13" t="s">
        <v>54</v>
      </c>
      <c r="G26" s="13" t="n">
        <f aca="false">VLOOKUP(F26,Reference!$A$2:$B$4,2,FALSE())</f>
        <v>2</v>
      </c>
      <c r="H26" s="11" t="n">
        <v>0</v>
      </c>
      <c r="I26" s="13" t="n">
        <f aca="false">IF(H26="N/A","",G26*H26)</f>
        <v>0</v>
      </c>
      <c r="J26" s="13" t="n">
        <f aca="false">IF(H26="N/A","",G26*3)</f>
        <v>6</v>
      </c>
      <c r="K26" s="12"/>
      <c r="L26" s="12"/>
    </row>
    <row r="27" customFormat="false" ht="23.85" hidden="false" customHeight="false" outlineLevel="0" collapsed="false">
      <c r="A27" s="12" t="s">
        <v>118</v>
      </c>
      <c r="B27" s="13" t="s">
        <v>143</v>
      </c>
      <c r="C27" s="12" t="s">
        <v>144</v>
      </c>
      <c r="D27" s="12" t="s">
        <v>145</v>
      </c>
      <c r="E27" s="12" t="s">
        <v>146</v>
      </c>
      <c r="F27" s="13" t="s">
        <v>54</v>
      </c>
      <c r="G27" s="13" t="n">
        <f aca="false">VLOOKUP(F27,Reference!$A$2:$B$4,2,FALSE())</f>
        <v>2</v>
      </c>
      <c r="H27" s="11" t="n">
        <v>0</v>
      </c>
      <c r="I27" s="13" t="n">
        <f aca="false">IF(H27="N/A","",G27*H27)</f>
        <v>0</v>
      </c>
      <c r="J27" s="13" t="n">
        <f aca="false">IF(H27="N/A","",G27*3)</f>
        <v>6</v>
      </c>
      <c r="K27" s="12"/>
      <c r="L27" s="12"/>
    </row>
    <row r="28" customFormat="false" ht="23.85" hidden="false" customHeight="false" outlineLevel="0" collapsed="false">
      <c r="A28" s="9" t="s">
        <v>147</v>
      </c>
      <c r="B28" s="10" t="s">
        <v>148</v>
      </c>
      <c r="C28" s="9" t="s">
        <v>149</v>
      </c>
      <c r="D28" s="9" t="s">
        <v>150</v>
      </c>
      <c r="E28" s="9" t="s">
        <v>151</v>
      </c>
      <c r="F28" s="10" t="s">
        <v>41</v>
      </c>
      <c r="G28" s="10" t="n">
        <f aca="false">VLOOKUP(F28,Reference!$A$2:$B$4,2,FALSE())</f>
        <v>3</v>
      </c>
      <c r="H28" s="11" t="n">
        <v>0</v>
      </c>
      <c r="I28" s="10" t="n">
        <f aca="false">IF(H28="N/A","",G28*H28)</f>
        <v>0</v>
      </c>
      <c r="J28" s="10" t="n">
        <f aca="false">IF(H28="N/A","",G28*3)</f>
        <v>9</v>
      </c>
      <c r="K28" s="9"/>
      <c r="L28" s="9"/>
    </row>
    <row r="29" customFormat="false" ht="23.85" hidden="false" customHeight="false" outlineLevel="0" collapsed="false">
      <c r="A29" s="9" t="s">
        <v>147</v>
      </c>
      <c r="B29" s="10" t="s">
        <v>152</v>
      </c>
      <c r="C29" s="9" t="s">
        <v>153</v>
      </c>
      <c r="D29" s="9" t="s">
        <v>154</v>
      </c>
      <c r="E29" s="9" t="s">
        <v>155</v>
      </c>
      <c r="F29" s="10" t="s">
        <v>41</v>
      </c>
      <c r="G29" s="10" t="n">
        <f aca="false">VLOOKUP(F29,Reference!$A$2:$B$4,2,FALSE())</f>
        <v>3</v>
      </c>
      <c r="H29" s="11" t="n">
        <v>0</v>
      </c>
      <c r="I29" s="10" t="n">
        <f aca="false">IF(H29="N/A","",G29*H29)</f>
        <v>0</v>
      </c>
      <c r="J29" s="10" t="n">
        <f aca="false">IF(H29="N/A","",G29*3)</f>
        <v>9</v>
      </c>
      <c r="K29" s="9"/>
      <c r="L29" s="9"/>
    </row>
    <row r="30" customFormat="false" ht="23.85" hidden="false" customHeight="false" outlineLevel="0" collapsed="false">
      <c r="A30" s="9" t="s">
        <v>147</v>
      </c>
      <c r="B30" s="10" t="s">
        <v>156</v>
      </c>
      <c r="C30" s="9" t="s">
        <v>157</v>
      </c>
      <c r="D30" s="9" t="s">
        <v>158</v>
      </c>
      <c r="E30" s="9" t="s">
        <v>159</v>
      </c>
      <c r="F30" s="10" t="s">
        <v>54</v>
      </c>
      <c r="G30" s="10" t="n">
        <f aca="false">VLOOKUP(F30,Reference!$A$2:$B$4,2,FALSE())</f>
        <v>2</v>
      </c>
      <c r="H30" s="11" t="n">
        <v>0</v>
      </c>
      <c r="I30" s="10" t="n">
        <f aca="false">IF(H30="N/A","",G30*H30)</f>
        <v>0</v>
      </c>
      <c r="J30" s="10" t="n">
        <f aca="false">IF(H30="N/A","",G30*3)</f>
        <v>6</v>
      </c>
      <c r="K30" s="9"/>
      <c r="L30" s="9"/>
    </row>
    <row r="31" customFormat="false" ht="23.85" hidden="false" customHeight="false" outlineLevel="0" collapsed="false">
      <c r="A31" s="9" t="s">
        <v>147</v>
      </c>
      <c r="B31" s="10" t="s">
        <v>160</v>
      </c>
      <c r="C31" s="9" t="s">
        <v>161</v>
      </c>
      <c r="D31" s="9" t="s">
        <v>162</v>
      </c>
      <c r="E31" s="9" t="s">
        <v>163</v>
      </c>
      <c r="F31" s="10" t="s">
        <v>54</v>
      </c>
      <c r="G31" s="10" t="n">
        <f aca="false">VLOOKUP(F31,Reference!$A$2:$B$4,2,FALSE())</f>
        <v>2</v>
      </c>
      <c r="H31" s="11" t="n">
        <v>0</v>
      </c>
      <c r="I31" s="10" t="n">
        <f aca="false">IF(H31="N/A","",G31*H31)</f>
        <v>0</v>
      </c>
      <c r="J31" s="10" t="n">
        <f aca="false">IF(H31="N/A","",G31*3)</f>
        <v>6</v>
      </c>
      <c r="K31" s="9"/>
      <c r="L31" s="9"/>
    </row>
    <row r="32" customFormat="false" ht="23.85" hidden="false" customHeight="false" outlineLevel="0" collapsed="false">
      <c r="A32" s="9" t="s">
        <v>147</v>
      </c>
      <c r="B32" s="10" t="s">
        <v>164</v>
      </c>
      <c r="C32" s="9" t="s">
        <v>165</v>
      </c>
      <c r="D32" s="9" t="s">
        <v>166</v>
      </c>
      <c r="E32" s="9" t="s">
        <v>167</v>
      </c>
      <c r="F32" s="10" t="s">
        <v>71</v>
      </c>
      <c r="G32" s="10" t="n">
        <f aca="false">VLOOKUP(F32,Reference!$A$2:$B$4,2,FALSE())</f>
        <v>1</v>
      </c>
      <c r="H32" s="11" t="n">
        <v>0</v>
      </c>
      <c r="I32" s="10" t="n">
        <f aca="false">IF(H32="N/A","",G32*H32)</f>
        <v>0</v>
      </c>
      <c r="J32" s="10" t="n">
        <f aca="false">IF(H32="N/A","",G32*3)</f>
        <v>3</v>
      </c>
      <c r="K32" s="9"/>
      <c r="L32" s="9"/>
    </row>
    <row r="33" customFormat="false" ht="15" hidden="false" customHeight="false" outlineLevel="0" collapsed="false">
      <c r="A33" s="9" t="s">
        <v>147</v>
      </c>
      <c r="B33" s="10" t="s">
        <v>168</v>
      </c>
      <c r="C33" s="9" t="s">
        <v>169</v>
      </c>
      <c r="D33" s="9" t="s">
        <v>170</v>
      </c>
      <c r="E33" s="9" t="s">
        <v>171</v>
      </c>
      <c r="F33" s="10" t="s">
        <v>54</v>
      </c>
      <c r="G33" s="10" t="n">
        <f aca="false">VLOOKUP(F33,Reference!$A$2:$B$4,2,FALSE())</f>
        <v>2</v>
      </c>
      <c r="H33" s="11" t="n">
        <v>0</v>
      </c>
      <c r="I33" s="10" t="n">
        <f aca="false">IF(H33="N/A","",G33*H33)</f>
        <v>0</v>
      </c>
      <c r="J33" s="10" t="n">
        <f aca="false">IF(H33="N/A","",G33*3)</f>
        <v>6</v>
      </c>
      <c r="K33" s="9"/>
      <c r="L33" s="9"/>
    </row>
    <row r="34" customFormat="false" ht="23.85" hidden="false" customHeight="false" outlineLevel="0" collapsed="false">
      <c r="A34" s="9" t="s">
        <v>147</v>
      </c>
      <c r="B34" s="10" t="s">
        <v>172</v>
      </c>
      <c r="C34" s="9" t="s">
        <v>173</v>
      </c>
      <c r="D34" s="9" t="s">
        <v>174</v>
      </c>
      <c r="E34" s="9" t="s">
        <v>175</v>
      </c>
      <c r="F34" s="10" t="s">
        <v>71</v>
      </c>
      <c r="G34" s="10" t="n">
        <f aca="false">VLOOKUP(F34,Reference!$A$2:$B$4,2,FALSE())</f>
        <v>1</v>
      </c>
      <c r="H34" s="11" t="n">
        <v>0</v>
      </c>
      <c r="I34" s="10" t="n">
        <f aca="false">IF(H34="N/A","",G34*H34)</f>
        <v>0</v>
      </c>
      <c r="J34" s="10" t="n">
        <f aca="false">IF(H34="N/A","",G34*3)</f>
        <v>3</v>
      </c>
      <c r="K34" s="9"/>
      <c r="L34" s="9"/>
    </row>
    <row r="35" customFormat="false" ht="15" hidden="false" customHeight="false" outlineLevel="0" collapsed="false">
      <c r="A35" s="12" t="s">
        <v>176</v>
      </c>
      <c r="B35" s="13" t="s">
        <v>177</v>
      </c>
      <c r="C35" s="12" t="s">
        <v>178</v>
      </c>
      <c r="D35" s="12" t="s">
        <v>179</v>
      </c>
      <c r="E35" s="12" t="s">
        <v>180</v>
      </c>
      <c r="F35" s="13" t="s">
        <v>54</v>
      </c>
      <c r="G35" s="13" t="n">
        <f aca="false">VLOOKUP(F35,Reference!$A$2:$B$4,2,FALSE())</f>
        <v>2</v>
      </c>
      <c r="H35" s="11" t="n">
        <v>0</v>
      </c>
      <c r="I35" s="13" t="n">
        <f aca="false">IF(H35="N/A","",G35*H35)</f>
        <v>0</v>
      </c>
      <c r="J35" s="13" t="n">
        <f aca="false">IF(H35="N/A","",G35*3)</f>
        <v>6</v>
      </c>
      <c r="K35" s="12"/>
      <c r="L35" s="12"/>
    </row>
    <row r="36" customFormat="false" ht="23.85" hidden="false" customHeight="false" outlineLevel="0" collapsed="false">
      <c r="A36" s="12" t="s">
        <v>176</v>
      </c>
      <c r="B36" s="13" t="s">
        <v>181</v>
      </c>
      <c r="C36" s="12" t="s">
        <v>182</v>
      </c>
      <c r="D36" s="12" t="s">
        <v>183</v>
      </c>
      <c r="E36" s="12" t="s">
        <v>184</v>
      </c>
      <c r="F36" s="13" t="s">
        <v>71</v>
      </c>
      <c r="G36" s="13" t="n">
        <f aca="false">VLOOKUP(F36,Reference!$A$2:$B$4,2,FALSE())</f>
        <v>1</v>
      </c>
      <c r="H36" s="11" t="n">
        <v>0</v>
      </c>
      <c r="I36" s="13" t="n">
        <f aca="false">IF(H36="N/A","",G36*H36)</f>
        <v>0</v>
      </c>
      <c r="J36" s="13" t="n">
        <f aca="false">IF(H36="N/A","",G36*3)</f>
        <v>3</v>
      </c>
      <c r="K36" s="12"/>
      <c r="L36" s="12"/>
    </row>
    <row r="37" customFormat="false" ht="23.85" hidden="false" customHeight="false" outlineLevel="0" collapsed="false">
      <c r="A37" s="12" t="s">
        <v>176</v>
      </c>
      <c r="B37" s="13" t="s">
        <v>185</v>
      </c>
      <c r="C37" s="12" t="s">
        <v>186</v>
      </c>
      <c r="D37" s="12" t="s">
        <v>187</v>
      </c>
      <c r="E37" s="12" t="s">
        <v>188</v>
      </c>
      <c r="F37" s="13" t="s">
        <v>54</v>
      </c>
      <c r="G37" s="13" t="n">
        <f aca="false">VLOOKUP(F37,Reference!$A$2:$B$4,2,FALSE())</f>
        <v>2</v>
      </c>
      <c r="H37" s="11" t="n">
        <v>1</v>
      </c>
      <c r="I37" s="13" t="n">
        <f aca="false">IF(H37="N/A","",G37*H37)</f>
        <v>2</v>
      </c>
      <c r="J37" s="13" t="n">
        <f aca="false">IF(H37="N/A","",G37*3)</f>
        <v>6</v>
      </c>
      <c r="K37" s="12"/>
      <c r="L37" s="12"/>
    </row>
    <row r="38" customFormat="false" ht="15" hidden="false" customHeight="false" outlineLevel="0" collapsed="false">
      <c r="A38" s="12" t="s">
        <v>176</v>
      </c>
      <c r="B38" s="13" t="s">
        <v>189</v>
      </c>
      <c r="C38" s="12" t="s">
        <v>190</v>
      </c>
      <c r="D38" s="12" t="s">
        <v>191</v>
      </c>
      <c r="E38" s="12" t="s">
        <v>192</v>
      </c>
      <c r="F38" s="13" t="s">
        <v>54</v>
      </c>
      <c r="G38" s="13" t="n">
        <f aca="false">VLOOKUP(F38,Reference!$A$2:$B$4,2,FALSE())</f>
        <v>2</v>
      </c>
      <c r="H38" s="11" t="n">
        <v>0</v>
      </c>
      <c r="I38" s="13" t="n">
        <f aca="false">IF(H38="N/A","",G38*H38)</f>
        <v>0</v>
      </c>
      <c r="J38" s="13" t="n">
        <f aca="false">IF(H38="N/A","",G38*3)</f>
        <v>6</v>
      </c>
      <c r="K38" s="12"/>
      <c r="L38" s="12"/>
    </row>
    <row r="39" customFormat="false" ht="15" hidden="false" customHeight="false" outlineLevel="0" collapsed="false">
      <c r="A39" s="12" t="s">
        <v>176</v>
      </c>
      <c r="B39" s="13" t="s">
        <v>193</v>
      </c>
      <c r="C39" s="12" t="s">
        <v>194</v>
      </c>
      <c r="D39" s="12" t="s">
        <v>195</v>
      </c>
      <c r="E39" s="12" t="s">
        <v>196</v>
      </c>
      <c r="F39" s="13" t="s">
        <v>71</v>
      </c>
      <c r="G39" s="13" t="n">
        <f aca="false">VLOOKUP(F39,Reference!$A$2:$B$4,2,FALSE())</f>
        <v>1</v>
      </c>
      <c r="H39" s="11" t="n">
        <v>0</v>
      </c>
      <c r="I39" s="13" t="n">
        <f aca="false">IF(H39="N/A","",G39*H39)</f>
        <v>0</v>
      </c>
      <c r="J39" s="13" t="n">
        <f aca="false">IF(H39="N/A","",G39*3)</f>
        <v>3</v>
      </c>
      <c r="K39" s="12"/>
      <c r="L39" s="12"/>
    </row>
    <row r="40" customFormat="false" ht="23.85" hidden="false" customHeight="false" outlineLevel="0" collapsed="false">
      <c r="A40" s="9" t="s">
        <v>197</v>
      </c>
      <c r="B40" s="10" t="s">
        <v>198</v>
      </c>
      <c r="C40" s="9" t="s">
        <v>199</v>
      </c>
      <c r="D40" s="9" t="s">
        <v>200</v>
      </c>
      <c r="E40" s="9" t="s">
        <v>201</v>
      </c>
      <c r="F40" s="10" t="s">
        <v>41</v>
      </c>
      <c r="G40" s="10" t="n">
        <f aca="false">VLOOKUP(F40,Reference!$A$2:$B$4,2,FALSE())</f>
        <v>3</v>
      </c>
      <c r="H40" s="11" t="n">
        <v>1</v>
      </c>
      <c r="I40" s="10" t="n">
        <f aca="false">IF(H40="N/A","",G40*H40)</f>
        <v>3</v>
      </c>
      <c r="J40" s="10" t="n">
        <f aca="false">IF(H40="N/A","",G40*3)</f>
        <v>9</v>
      </c>
      <c r="K40" s="9"/>
      <c r="L40" s="9"/>
    </row>
    <row r="41" customFormat="false" ht="23.85" hidden="false" customHeight="false" outlineLevel="0" collapsed="false">
      <c r="A41" s="9" t="s">
        <v>197</v>
      </c>
      <c r="B41" s="10" t="s">
        <v>202</v>
      </c>
      <c r="C41" s="9" t="s">
        <v>203</v>
      </c>
      <c r="D41" s="9" t="s">
        <v>204</v>
      </c>
      <c r="E41" s="9" t="s">
        <v>205</v>
      </c>
      <c r="F41" s="10" t="s">
        <v>54</v>
      </c>
      <c r="G41" s="10" t="n">
        <f aca="false">VLOOKUP(F41,Reference!$A$2:$B$4,2,FALSE())</f>
        <v>2</v>
      </c>
      <c r="H41" s="11" t="n">
        <v>1</v>
      </c>
      <c r="I41" s="10" t="n">
        <f aca="false">IF(H41="N/A","",G41*H41)</f>
        <v>2</v>
      </c>
      <c r="J41" s="10" t="n">
        <f aca="false">IF(H41="N/A","",G41*3)</f>
        <v>6</v>
      </c>
      <c r="K41" s="9"/>
      <c r="L41" s="9"/>
    </row>
    <row r="42" customFormat="false" ht="23.85" hidden="false" customHeight="false" outlineLevel="0" collapsed="false">
      <c r="A42" s="9" t="s">
        <v>197</v>
      </c>
      <c r="B42" s="10" t="s">
        <v>206</v>
      </c>
      <c r="C42" s="9" t="s">
        <v>207</v>
      </c>
      <c r="D42" s="9" t="s">
        <v>208</v>
      </c>
      <c r="E42" s="9" t="s">
        <v>209</v>
      </c>
      <c r="F42" s="10" t="s">
        <v>54</v>
      </c>
      <c r="G42" s="10" t="n">
        <f aca="false">VLOOKUP(F42,Reference!$A$2:$B$4,2,FALSE())</f>
        <v>2</v>
      </c>
      <c r="H42" s="11" t="n">
        <v>0</v>
      </c>
      <c r="I42" s="10" t="n">
        <f aca="false">IF(H42="N/A","",G42*H42)</f>
        <v>0</v>
      </c>
      <c r="J42" s="10" t="n">
        <f aca="false">IF(H42="N/A","",G42*3)</f>
        <v>6</v>
      </c>
      <c r="K42" s="9"/>
      <c r="L42" s="9"/>
    </row>
    <row r="43" customFormat="false" ht="15" hidden="false" customHeight="false" outlineLevel="0" collapsed="false">
      <c r="A43" s="9" t="s">
        <v>197</v>
      </c>
      <c r="B43" s="10" t="s">
        <v>210</v>
      </c>
      <c r="C43" s="9" t="s">
        <v>211</v>
      </c>
      <c r="D43" s="9" t="s">
        <v>212</v>
      </c>
      <c r="E43" s="9" t="s">
        <v>213</v>
      </c>
      <c r="F43" s="10" t="s">
        <v>71</v>
      </c>
      <c r="G43" s="10" t="n">
        <f aca="false">VLOOKUP(F43,Reference!$A$2:$B$4,2,FALSE())</f>
        <v>1</v>
      </c>
      <c r="H43" s="11" t="n">
        <v>0</v>
      </c>
      <c r="I43" s="10" t="n">
        <f aca="false">IF(H43="N/A","",G43*H43)</f>
        <v>0</v>
      </c>
      <c r="J43" s="10" t="n">
        <f aca="false">IF(H43="N/A","",G43*3)</f>
        <v>3</v>
      </c>
      <c r="K43" s="9"/>
      <c r="L43" s="9"/>
    </row>
    <row r="44" customFormat="false" ht="23.85" hidden="false" customHeight="false" outlineLevel="0" collapsed="false">
      <c r="A44" s="9" t="s">
        <v>197</v>
      </c>
      <c r="B44" s="10" t="s">
        <v>214</v>
      </c>
      <c r="C44" s="9" t="s">
        <v>215</v>
      </c>
      <c r="D44" s="9" t="s">
        <v>216</v>
      </c>
      <c r="E44" s="9" t="s">
        <v>217</v>
      </c>
      <c r="F44" s="10" t="s">
        <v>71</v>
      </c>
      <c r="G44" s="10" t="n">
        <f aca="false">VLOOKUP(F44,Reference!$A$2:$B$4,2,FALSE())</f>
        <v>1</v>
      </c>
      <c r="H44" s="11" t="n">
        <v>0</v>
      </c>
      <c r="I44" s="10" t="n">
        <f aca="false">IF(H44="N/A","",G44*H44)</f>
        <v>0</v>
      </c>
      <c r="J44" s="10" t="n">
        <f aca="false">IF(H44="N/A","",G44*3)</f>
        <v>3</v>
      </c>
      <c r="K44" s="9"/>
      <c r="L44" s="9"/>
    </row>
    <row r="45" customFormat="false" ht="23.85" hidden="false" customHeight="false" outlineLevel="0" collapsed="false">
      <c r="A45" s="12" t="s">
        <v>218</v>
      </c>
      <c r="B45" s="13" t="s">
        <v>219</v>
      </c>
      <c r="C45" s="12" t="s">
        <v>220</v>
      </c>
      <c r="D45" s="12" t="s">
        <v>221</v>
      </c>
      <c r="E45" s="12" t="s">
        <v>222</v>
      </c>
      <c r="F45" s="13" t="s">
        <v>54</v>
      </c>
      <c r="G45" s="13" t="n">
        <f aca="false">VLOOKUP(F45,Reference!$A$2:$B$4,2,FALSE())</f>
        <v>2</v>
      </c>
      <c r="H45" s="11" t="n">
        <v>1</v>
      </c>
      <c r="I45" s="13" t="n">
        <f aca="false">IF(H45="N/A","",G45*H45)</f>
        <v>2</v>
      </c>
      <c r="J45" s="13" t="n">
        <f aca="false">IF(H45="N/A","",G45*3)</f>
        <v>6</v>
      </c>
      <c r="K45" s="12"/>
      <c r="L45" s="12"/>
    </row>
    <row r="46" customFormat="false" ht="15" hidden="false" customHeight="false" outlineLevel="0" collapsed="false">
      <c r="A46" s="12" t="s">
        <v>218</v>
      </c>
      <c r="B46" s="13" t="s">
        <v>223</v>
      </c>
      <c r="C46" s="12" t="s">
        <v>224</v>
      </c>
      <c r="D46" s="12" t="s">
        <v>225</v>
      </c>
      <c r="E46" s="12" t="s">
        <v>226</v>
      </c>
      <c r="F46" s="13" t="s">
        <v>54</v>
      </c>
      <c r="G46" s="13" t="n">
        <f aca="false">VLOOKUP(F46,Reference!$A$2:$B$4,2,FALSE())</f>
        <v>2</v>
      </c>
      <c r="H46" s="11" t="n">
        <v>0</v>
      </c>
      <c r="I46" s="13" t="n">
        <f aca="false">IF(H46="N/A","",G46*H46)</f>
        <v>0</v>
      </c>
      <c r="J46" s="13" t="n">
        <f aca="false">IF(H46="N/A","",G46*3)</f>
        <v>6</v>
      </c>
      <c r="K46" s="12"/>
      <c r="L46" s="12"/>
    </row>
    <row r="47" customFormat="false" ht="15" hidden="false" customHeight="false" outlineLevel="0" collapsed="false">
      <c r="A47" s="12" t="s">
        <v>218</v>
      </c>
      <c r="B47" s="13" t="s">
        <v>227</v>
      </c>
      <c r="C47" s="12" t="s">
        <v>228</v>
      </c>
      <c r="D47" s="12" t="s">
        <v>229</v>
      </c>
      <c r="E47" s="12" t="s">
        <v>230</v>
      </c>
      <c r="F47" s="13" t="s">
        <v>71</v>
      </c>
      <c r="G47" s="13" t="n">
        <f aca="false">VLOOKUP(F47,Reference!$A$2:$B$4,2,FALSE())</f>
        <v>1</v>
      </c>
      <c r="H47" s="11" t="n">
        <v>1</v>
      </c>
      <c r="I47" s="13" t="n">
        <f aca="false">IF(H47="N/A","",G47*H47)</f>
        <v>1</v>
      </c>
      <c r="J47" s="13" t="n">
        <f aca="false">IF(H47="N/A","",G47*3)</f>
        <v>3</v>
      </c>
      <c r="K47" s="12"/>
      <c r="L47" s="12"/>
    </row>
    <row r="48" customFormat="false" ht="23.85" hidden="false" customHeight="false" outlineLevel="0" collapsed="false">
      <c r="A48" s="12" t="s">
        <v>218</v>
      </c>
      <c r="B48" s="13" t="s">
        <v>231</v>
      </c>
      <c r="C48" s="12" t="s">
        <v>232</v>
      </c>
      <c r="D48" s="12" t="s">
        <v>233</v>
      </c>
      <c r="E48" s="12" t="s">
        <v>234</v>
      </c>
      <c r="F48" s="13" t="s">
        <v>54</v>
      </c>
      <c r="G48" s="13" t="n">
        <f aca="false">VLOOKUP(F48,Reference!$A$2:$B$4,2,FALSE())</f>
        <v>2</v>
      </c>
      <c r="H48" s="11" t="n">
        <v>0</v>
      </c>
      <c r="I48" s="13" t="n">
        <f aca="false">IF(H48="N/A","",G48*H48)</f>
        <v>0</v>
      </c>
      <c r="J48" s="13" t="n">
        <f aca="false">IF(H48="N/A","",G48*3)</f>
        <v>6</v>
      </c>
      <c r="K48" s="12"/>
      <c r="L48" s="12"/>
    </row>
    <row r="49" customFormat="false" ht="15" hidden="false" customHeight="false" outlineLevel="0" collapsed="false">
      <c r="A49" s="12" t="s">
        <v>218</v>
      </c>
      <c r="B49" s="13" t="s">
        <v>235</v>
      </c>
      <c r="C49" s="12" t="s">
        <v>236</v>
      </c>
      <c r="D49" s="12" t="s">
        <v>237</v>
      </c>
      <c r="E49" s="12" t="s">
        <v>238</v>
      </c>
      <c r="F49" s="13" t="s">
        <v>71</v>
      </c>
      <c r="G49" s="13" t="n">
        <f aca="false">VLOOKUP(F49,Reference!$A$2:$B$4,2,FALSE())</f>
        <v>1</v>
      </c>
      <c r="H49" s="11" t="n">
        <v>0</v>
      </c>
      <c r="I49" s="13" t="n">
        <f aca="false">IF(H49="N/A","",G49*H49)</f>
        <v>0</v>
      </c>
      <c r="J49" s="13" t="n">
        <f aca="false">IF(H49="N/A","",G49*3)</f>
        <v>3</v>
      </c>
      <c r="K49" s="12"/>
      <c r="L49" s="12"/>
    </row>
    <row r="50" customFormat="false" ht="23.85" hidden="false" customHeight="false" outlineLevel="0" collapsed="false">
      <c r="A50" s="9" t="s">
        <v>239</v>
      </c>
      <c r="B50" s="10" t="s">
        <v>240</v>
      </c>
      <c r="C50" s="9" t="s">
        <v>241</v>
      </c>
      <c r="D50" s="9" t="s">
        <v>242</v>
      </c>
      <c r="E50" s="9" t="s">
        <v>243</v>
      </c>
      <c r="F50" s="10" t="s">
        <v>71</v>
      </c>
      <c r="G50" s="10" t="n">
        <f aca="false">VLOOKUP(F50,Reference!$A$2:$B$4,2,FALSE())</f>
        <v>1</v>
      </c>
      <c r="H50" s="11" t="n">
        <v>1</v>
      </c>
      <c r="I50" s="10" t="n">
        <f aca="false">IF(H50="N/A","",G50*H50)</f>
        <v>1</v>
      </c>
      <c r="J50" s="10" t="n">
        <f aca="false">IF(H50="N/A","",G50*3)</f>
        <v>3</v>
      </c>
      <c r="K50" s="9"/>
      <c r="L50" s="9"/>
    </row>
    <row r="51" customFormat="false" ht="23.85" hidden="false" customHeight="false" outlineLevel="0" collapsed="false">
      <c r="A51" s="9" t="s">
        <v>239</v>
      </c>
      <c r="B51" s="10" t="s">
        <v>244</v>
      </c>
      <c r="C51" s="9" t="s">
        <v>245</v>
      </c>
      <c r="D51" s="9" t="s">
        <v>246</v>
      </c>
      <c r="E51" s="9" t="s">
        <v>247</v>
      </c>
      <c r="F51" s="10" t="s">
        <v>71</v>
      </c>
      <c r="G51" s="10" t="n">
        <f aca="false">VLOOKUP(F51,Reference!$A$2:$B$4,2,FALSE())</f>
        <v>1</v>
      </c>
      <c r="H51" s="11" t="n">
        <v>1</v>
      </c>
      <c r="I51" s="10" t="n">
        <f aca="false">IF(H51="N/A","",G51*H51)</f>
        <v>1</v>
      </c>
      <c r="J51" s="10" t="n">
        <f aca="false">IF(H51="N/A","",G51*3)</f>
        <v>3</v>
      </c>
      <c r="K51" s="9"/>
      <c r="L51" s="9"/>
    </row>
    <row r="52" customFormat="false" ht="15" hidden="false" customHeight="false" outlineLevel="0" collapsed="false">
      <c r="A52" s="9" t="s">
        <v>239</v>
      </c>
      <c r="B52" s="10" t="s">
        <v>248</v>
      </c>
      <c r="C52" s="9" t="s">
        <v>249</v>
      </c>
      <c r="D52" s="9" t="s">
        <v>250</v>
      </c>
      <c r="E52" s="9" t="s">
        <v>251</v>
      </c>
      <c r="F52" s="10" t="s">
        <v>71</v>
      </c>
      <c r="G52" s="10" t="n">
        <f aca="false">VLOOKUP(F52,Reference!$A$2:$B$4,2,FALSE())</f>
        <v>1</v>
      </c>
      <c r="H52" s="11" t="n">
        <v>1</v>
      </c>
      <c r="I52" s="10" t="n">
        <f aca="false">IF(H52="N/A","",G52*H52)</f>
        <v>1</v>
      </c>
      <c r="J52" s="10" t="n">
        <f aca="false">IF(H52="N/A","",G52*3)</f>
        <v>3</v>
      </c>
      <c r="K52" s="9"/>
      <c r="L52" s="9"/>
    </row>
  </sheetData>
  <dataValidations count="2">
    <dataValidation allowBlank="false" errorStyle="stop" operator="between" showDropDown="false" showErrorMessage="false" showInputMessage="false" sqref="F2:F52" type="list">
      <formula1>"Critical,High,Medium"</formula1>
      <formula2>0</formula2>
    </dataValidation>
    <dataValidation allowBlank="false" errorStyle="stop" operator="between" showDropDown="false" showErrorMessage="false" showInputMessage="false" sqref="H2:H52" type="list">
      <formula1>"0,1,2,3,N/A"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2"/>
  </cols>
  <sheetData>
    <row r="1" customFormat="false" ht="22.05" hidden="false" customHeight="false" outlineLevel="0" collapsed="false">
      <c r="A1" s="14" t="s">
        <v>0</v>
      </c>
    </row>
    <row r="2" customFormat="false" ht="15" hidden="false" customHeight="false" outlineLevel="0" collapsed="false">
      <c r="A2" s="15" t="s">
        <v>252</v>
      </c>
    </row>
    <row r="3" customFormat="false" ht="15" hidden="false" customHeight="false" outlineLevel="0" collapsed="false">
      <c r="A3" s="4" t="s">
        <v>253</v>
      </c>
    </row>
    <row r="4" customFormat="false" ht="15" hidden="false" customHeight="false" outlineLevel="0" collapsed="false">
      <c r="A4" s="16" t="s">
        <v>254</v>
      </c>
      <c r="B4" s="16"/>
    </row>
    <row r="5" customFormat="false" ht="24.45" hidden="false" customHeight="false" outlineLevel="0" collapsed="false">
      <c r="A5" s="17" t="s">
        <v>32</v>
      </c>
      <c r="B5" s="18" t="n">
        <f aca="false">IF(SUM(Scorecard!J2:J52)=0,"N/A",SUM(Scorecard!I2:I52)/SUM(Scorecard!J2:J52))</f>
        <v>0.197132616487455</v>
      </c>
    </row>
    <row r="6" customFormat="false" ht="17.35" hidden="false" customHeight="false" outlineLevel="0" collapsed="false">
      <c r="A6" s="17" t="s">
        <v>255</v>
      </c>
      <c r="B6" s="19" t="str">
        <f aca="false">IF(B5="N/A","N/A",VLOOKUP(B5,Reference!$A$7:$B$11,2,TRUE()))</f>
        <v>At Risk</v>
      </c>
    </row>
    <row r="9" customFormat="false" ht="15" hidden="false" customHeight="false" outlineLevel="0" collapsed="false">
      <c r="A9" s="20" t="s">
        <v>25</v>
      </c>
      <c r="B9" s="20" t="s">
        <v>32</v>
      </c>
      <c r="C9" s="20" t="s">
        <v>256</v>
      </c>
    </row>
    <row r="10" customFormat="false" ht="15" hidden="false" customHeight="false" outlineLevel="0" collapsed="false">
      <c r="A10" s="21" t="s">
        <v>36</v>
      </c>
      <c r="B10" s="22" t="n">
        <f aca="false">IF(SUMIF(Scorecard!$A$2:$A$52,A10,Scorecard!$J$2:$J$52)=0,"N/A",SUMIF(Scorecard!$A$2:$A$52,A10,Scorecard!$I$2:$I$52)/SUMIF(Scorecard!$A$2:$A$52,A10,Scorecard!$J$2:$J$52))</f>
        <v>0.333333333333333</v>
      </c>
      <c r="C10" s="23" t="n">
        <f aca="false">COUNTIF(Scorecard!$A$2:$A$52,A10)</f>
        <v>8</v>
      </c>
    </row>
    <row r="11" customFormat="false" ht="15" hidden="false" customHeight="false" outlineLevel="0" collapsed="false">
      <c r="A11" s="21" t="s">
        <v>72</v>
      </c>
      <c r="B11" s="22" t="n">
        <f aca="false">IF(SUMIF(Scorecard!$A$2:$A$52,A11,Scorecard!$J$2:$J$52)=0,"N/A",SUMIF(Scorecard!$A$2:$A$52,A11,Scorecard!$I$2:$I$52)/SUMIF(Scorecard!$A$2:$A$52,A11,Scorecard!$J$2:$J$52))</f>
        <v>0.0833333333333333</v>
      </c>
      <c r="C11" s="23" t="n">
        <f aca="false">COUNTIF(Scorecard!$A$2:$A$52,A11)</f>
        <v>6</v>
      </c>
    </row>
    <row r="12" customFormat="false" ht="15" hidden="false" customHeight="false" outlineLevel="0" collapsed="false">
      <c r="A12" s="21" t="s">
        <v>97</v>
      </c>
      <c r="B12" s="22" t="n">
        <f aca="false">IF(SUMIF(Scorecard!$A$2:$A$52,A12,Scorecard!$J$2:$J$52)=0,"N/A",SUMIF(Scorecard!$A$2:$A$52,A12,Scorecard!$I$2:$I$52)/SUMIF(Scorecard!$A$2:$A$52,A12,Scorecard!$J$2:$J$52))</f>
        <v>0.541666666666667</v>
      </c>
      <c r="C12" s="23" t="n">
        <f aca="false">COUNTIF(Scorecard!$A$2:$A$52,A12)</f>
        <v>5</v>
      </c>
    </row>
    <row r="13" customFormat="false" ht="15" hidden="false" customHeight="false" outlineLevel="0" collapsed="false">
      <c r="A13" s="21" t="s">
        <v>118</v>
      </c>
      <c r="B13" s="22" t="n">
        <f aca="false">IF(SUMIF(Scorecard!$A$2:$A$52,A13,Scorecard!$J$2:$J$52)=0,"N/A",SUMIF(Scorecard!$A$2:$A$52,A13,Scorecard!$I$2:$I$52)/SUMIF(Scorecard!$A$2:$A$52,A13,Scorecard!$J$2:$J$52))</f>
        <v>0.205128205128205</v>
      </c>
      <c r="C13" s="23" t="n">
        <f aca="false">COUNTIF(Scorecard!$A$2:$A$52,A13)</f>
        <v>7</v>
      </c>
    </row>
    <row r="14" customFormat="false" ht="15" hidden="false" customHeight="false" outlineLevel="0" collapsed="false">
      <c r="A14" s="21" t="s">
        <v>147</v>
      </c>
      <c r="B14" s="22" t="n">
        <f aca="false">IF(SUMIF(Scorecard!$A$2:$A$52,A14,Scorecard!$J$2:$J$52)=0,"N/A",SUMIF(Scorecard!$A$2:$A$52,A14,Scorecard!$I$2:$I$52)/SUMIF(Scorecard!$A$2:$A$52,A14,Scorecard!$J$2:$J$52))</f>
        <v>0</v>
      </c>
      <c r="C14" s="23" t="n">
        <f aca="false">COUNTIF(Scorecard!$A$2:$A$52,A14)</f>
        <v>7</v>
      </c>
    </row>
    <row r="15" customFormat="false" ht="15" hidden="false" customHeight="false" outlineLevel="0" collapsed="false">
      <c r="A15" s="21" t="s">
        <v>176</v>
      </c>
      <c r="B15" s="22" t="n">
        <f aca="false">IF(SUMIF(Scorecard!$A$2:$A$52,A15,Scorecard!$J$2:$J$52)=0,"N/A",SUMIF(Scorecard!$A$2:$A$52,A15,Scorecard!$I$2:$I$52)/SUMIF(Scorecard!$A$2:$A$52,A15,Scorecard!$J$2:$J$52))</f>
        <v>0.0833333333333333</v>
      </c>
      <c r="C15" s="23" t="n">
        <f aca="false">COUNTIF(Scorecard!$A$2:$A$52,A15)</f>
        <v>5</v>
      </c>
    </row>
    <row r="16" customFormat="false" ht="15" hidden="false" customHeight="false" outlineLevel="0" collapsed="false">
      <c r="A16" s="21" t="s">
        <v>197</v>
      </c>
      <c r="B16" s="22" t="n">
        <f aca="false">IF(SUMIF(Scorecard!$A$2:$A$52,A16,Scorecard!$J$2:$J$52)=0,"N/A",SUMIF(Scorecard!$A$2:$A$52,A16,Scorecard!$I$2:$I$52)/SUMIF(Scorecard!$A$2:$A$52,A16,Scorecard!$J$2:$J$52))</f>
        <v>0.185185185185185</v>
      </c>
      <c r="C16" s="23" t="n">
        <f aca="false">COUNTIF(Scorecard!$A$2:$A$52,A16)</f>
        <v>5</v>
      </c>
    </row>
    <row r="17" customFormat="false" ht="15" hidden="false" customHeight="false" outlineLevel="0" collapsed="false">
      <c r="A17" s="21" t="s">
        <v>218</v>
      </c>
      <c r="B17" s="22" t="n">
        <f aca="false">IF(SUMIF(Scorecard!$A$2:$A$52,A17,Scorecard!$J$2:$J$52)=0,"N/A",SUMIF(Scorecard!$A$2:$A$52,A17,Scorecard!$I$2:$I$52)/SUMIF(Scorecard!$A$2:$A$52,A17,Scorecard!$J$2:$J$52))</f>
        <v>0.125</v>
      </c>
      <c r="C17" s="23" t="n">
        <f aca="false">COUNTIF(Scorecard!$A$2:$A$52,A17)</f>
        <v>5</v>
      </c>
    </row>
    <row r="18" customFormat="false" ht="15" hidden="false" customHeight="false" outlineLevel="0" collapsed="false">
      <c r="A18" s="21" t="s">
        <v>239</v>
      </c>
      <c r="B18" s="22" t="n">
        <f aca="false">IF(SUMIF(Scorecard!$A$2:$A$52,A18,Scorecard!$J$2:$J$52)=0,"N/A",SUMIF(Scorecard!$A$2:$A$52,A18,Scorecard!$I$2:$I$52)/SUMIF(Scorecard!$A$2:$A$52,A18,Scorecard!$J$2:$J$52))</f>
        <v>0.333333333333333</v>
      </c>
      <c r="C18" s="23" t="n">
        <f aca="false">COUNTIF(Scorecard!$A$2:$A$52,A18)</f>
        <v>3</v>
      </c>
    </row>
    <row r="20" customFormat="false" ht="15" hidden="false" customHeight="false" outlineLevel="0" collapsed="false">
      <c r="A20" s="24" t="s">
        <v>257</v>
      </c>
    </row>
    <row r="21" customFormat="false" ht="15" hidden="false" customHeight="false" outlineLevel="0" collapsed="false">
      <c r="A21" s="25" t="s">
        <v>258</v>
      </c>
      <c r="B21" s="26" t="s">
        <v>259</v>
      </c>
    </row>
    <row r="22" customFormat="false" ht="15" hidden="false" customHeight="false" outlineLevel="0" collapsed="false">
      <c r="A22" s="25" t="s">
        <v>260</v>
      </c>
      <c r="B22" s="26" t="s">
        <v>261</v>
      </c>
    </row>
    <row r="23" customFormat="false" ht="15" hidden="false" customHeight="false" outlineLevel="0" collapsed="false">
      <c r="A23" s="25" t="s">
        <v>262</v>
      </c>
      <c r="B23" s="26" t="s">
        <v>263</v>
      </c>
    </row>
    <row r="24" customFormat="false" ht="15" hidden="false" customHeight="false" outlineLevel="0" collapsed="false">
      <c r="A24" s="25" t="s">
        <v>264</v>
      </c>
      <c r="B24" s="26" t="s">
        <v>265</v>
      </c>
    </row>
    <row r="25" customFormat="false" ht="15" hidden="false" customHeight="false" outlineLevel="0" collapsed="false">
      <c r="A25" s="25" t="s">
        <v>266</v>
      </c>
      <c r="B25" s="26" t="s">
        <v>267</v>
      </c>
    </row>
  </sheetData>
  <mergeCells count="1">
    <mergeCell ref="A4:B4"/>
  </mergeCells>
  <conditionalFormatting sqref="B10:B18">
    <cfRule type="dataBar" priority="2">
      <dataBar showValue="1" minLength="10" maxLength="90">
        <cfvo type="num" val="0"/>
        <cfvo type="num" val="1"/>
        <color rgb="FF2E5E4E"/>
      </dataBar>
      <extLst>
        <ext xmlns:x14="http://schemas.microsoft.com/office/spreadsheetml/2009/9/main" uri="{B025F937-C7B1-47D3-B67F-A62EFF666E3E}">
          <x14:id>{11CCBD28-DCA4-4943-8CF6-BF20A0D07339}</x14:id>
        </ext>
      </extLst>
    </cfRule>
  </conditionalFormatting>
  <hyperlinks>
    <hyperlink ref="A3" r:id="rId1" display="linkedin.com/in/jeffrey-bella-96587311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CCBD28-DCA4-4943-8CF6-BF20A0D0733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5E4E"/>
              <x14:axisColor rgb="FF000000"/>
            </x14:dataBar>
          </x14:cfRule>
          <xm:sqref>B10:B18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29</v>
      </c>
      <c r="B1" s="0" t="s">
        <v>30</v>
      </c>
    </row>
    <row r="2" customFormat="false" ht="15" hidden="false" customHeight="false" outlineLevel="0" collapsed="false">
      <c r="A2" s="0" t="s">
        <v>41</v>
      </c>
      <c r="B2" s="0" t="n">
        <v>3</v>
      </c>
    </row>
    <row r="3" customFormat="false" ht="15" hidden="false" customHeight="false" outlineLevel="0" collapsed="false">
      <c r="A3" s="0" t="s">
        <v>54</v>
      </c>
      <c r="B3" s="0" t="n">
        <v>2</v>
      </c>
    </row>
    <row r="4" customFormat="false" ht="15" hidden="false" customHeight="false" outlineLevel="0" collapsed="false">
      <c r="A4" s="0" t="s">
        <v>71</v>
      </c>
      <c r="B4" s="0" t="n">
        <v>1</v>
      </c>
    </row>
    <row r="6" customFormat="false" ht="15" hidden="false" customHeight="false" outlineLevel="0" collapsed="false">
      <c r="A6" s="0" t="s">
        <v>268</v>
      </c>
      <c r="B6" s="0" t="s">
        <v>269</v>
      </c>
    </row>
    <row r="7" customFormat="false" ht="15" hidden="false" customHeight="false" outlineLevel="0" collapsed="false">
      <c r="A7" s="0" t="n">
        <v>0</v>
      </c>
      <c r="B7" s="0" t="s">
        <v>258</v>
      </c>
    </row>
    <row r="8" customFormat="false" ht="15" hidden="false" customHeight="false" outlineLevel="0" collapsed="false">
      <c r="A8" s="0" t="n">
        <v>0.26</v>
      </c>
      <c r="B8" s="0" t="s">
        <v>260</v>
      </c>
    </row>
    <row r="9" customFormat="false" ht="15" hidden="false" customHeight="false" outlineLevel="0" collapsed="false">
      <c r="A9" s="0" t="n">
        <v>0.51</v>
      </c>
      <c r="B9" s="0" t="s">
        <v>262</v>
      </c>
    </row>
    <row r="10" customFormat="false" ht="15" hidden="false" customHeight="false" outlineLevel="0" collapsed="false">
      <c r="A10" s="0" t="n">
        <v>0.76</v>
      </c>
      <c r="B10" s="0" t="s">
        <v>264</v>
      </c>
    </row>
    <row r="11" customFormat="false" ht="15" hidden="false" customHeight="false" outlineLevel="0" collapsed="false">
      <c r="A11" s="0" t="n">
        <v>0.91</v>
      </c>
      <c r="B11" s="0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2026-06-23T13:34:34Z</dcterms:created>
  <dc:creator>openpyxl</dc:creator>
  <dc:description/>
  <dc:language>en-US</dc:language>
  <cp:lastModifiedBy/>
  <dcterms:modified xsi:type="dcterms:W3CDTF">2026-06-23T13:34:40Z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