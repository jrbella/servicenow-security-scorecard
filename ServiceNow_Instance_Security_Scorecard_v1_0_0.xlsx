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ella\Downloads\"/>
    </mc:Choice>
  </mc:AlternateContent>
  <xr:revisionPtr revIDLastSave="0" documentId="13_ncr:1_{A23AA713-6AE9-4B8E-BD56-6FB34A69A2D6}" xr6:coauthVersionLast="47" xr6:coauthVersionMax="47" xr10:uidLastSave="{00000000-0000-0000-0000-000000000000}"/>
  <bookViews>
    <workbookView xWindow="4416" yWindow="5904" windowWidth="17280" windowHeight="8880" tabRatio="500" activeTab="1" xr2:uid="{00000000-000D-0000-FFFF-FFFF00000000}"/>
  </bookViews>
  <sheets>
    <sheet name="Start Here" sheetId="1" r:id="rId1"/>
    <sheet name="Scorecard" sheetId="2" r:id="rId2"/>
    <sheet name="Summary" sheetId="3" r:id="rId3"/>
    <sheet name="Reference" sheetId="4" state="hidden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3" l="1"/>
  <c r="C17" i="3"/>
  <c r="C16" i="3"/>
  <c r="C15" i="3"/>
  <c r="C14" i="3"/>
  <c r="C13" i="3"/>
  <c r="C12" i="3"/>
  <c r="C11" i="3"/>
  <c r="C10" i="3"/>
  <c r="I52" i="2"/>
  <c r="F52" i="2"/>
  <c r="H52" i="2" s="1"/>
  <c r="I51" i="2"/>
  <c r="H51" i="2"/>
  <c r="F51" i="2"/>
  <c r="I50" i="2"/>
  <c r="B18" i="3" s="1"/>
  <c r="H50" i="2"/>
  <c r="F50" i="2"/>
  <c r="F49" i="2"/>
  <c r="I49" i="2" s="1"/>
  <c r="F48" i="2"/>
  <c r="I48" i="2" s="1"/>
  <c r="I47" i="2"/>
  <c r="H47" i="2"/>
  <c r="F47" i="2"/>
  <c r="I46" i="2"/>
  <c r="H46" i="2"/>
  <c r="F46" i="2"/>
  <c r="F45" i="2"/>
  <c r="I45" i="2" s="1"/>
  <c r="F44" i="2"/>
  <c r="I44" i="2" s="1"/>
  <c r="I43" i="2"/>
  <c r="H43" i="2"/>
  <c r="F43" i="2"/>
  <c r="I42" i="2"/>
  <c r="H42" i="2"/>
  <c r="F42" i="2"/>
  <c r="F41" i="2"/>
  <c r="I41" i="2" s="1"/>
  <c r="F40" i="2"/>
  <c r="I40" i="2" s="1"/>
  <c r="I39" i="2"/>
  <c r="H39" i="2"/>
  <c r="F39" i="2"/>
  <c r="I38" i="2"/>
  <c r="H38" i="2"/>
  <c r="F38" i="2"/>
  <c r="F37" i="2"/>
  <c r="I37" i="2" s="1"/>
  <c r="F36" i="2"/>
  <c r="I36" i="2" s="1"/>
  <c r="I35" i="2"/>
  <c r="H35" i="2"/>
  <c r="F35" i="2"/>
  <c r="I34" i="2"/>
  <c r="H34" i="2"/>
  <c r="F34" i="2"/>
  <c r="F33" i="2"/>
  <c r="I33" i="2" s="1"/>
  <c r="F32" i="2"/>
  <c r="I32" i="2" s="1"/>
  <c r="I31" i="2"/>
  <c r="H31" i="2"/>
  <c r="F31" i="2"/>
  <c r="I30" i="2"/>
  <c r="H30" i="2"/>
  <c r="F30" i="2"/>
  <c r="F29" i="2"/>
  <c r="I29" i="2" s="1"/>
  <c r="F28" i="2"/>
  <c r="I28" i="2" s="1"/>
  <c r="I27" i="2"/>
  <c r="H27" i="2"/>
  <c r="F27" i="2"/>
  <c r="I26" i="2"/>
  <c r="H26" i="2"/>
  <c r="F26" i="2"/>
  <c r="F25" i="2"/>
  <c r="I25" i="2" s="1"/>
  <c r="F24" i="2"/>
  <c r="I24" i="2" s="1"/>
  <c r="I23" i="2"/>
  <c r="H23" i="2"/>
  <c r="F23" i="2"/>
  <c r="I22" i="2"/>
  <c r="H22" i="2"/>
  <c r="F22" i="2"/>
  <c r="F21" i="2"/>
  <c r="I21" i="2" s="1"/>
  <c r="F20" i="2"/>
  <c r="I20" i="2" s="1"/>
  <c r="I19" i="2"/>
  <c r="H19" i="2"/>
  <c r="F19" i="2"/>
  <c r="I18" i="2"/>
  <c r="H18" i="2"/>
  <c r="F18" i="2"/>
  <c r="F17" i="2"/>
  <c r="I17" i="2" s="1"/>
  <c r="F16" i="2"/>
  <c r="I16" i="2" s="1"/>
  <c r="I15" i="2"/>
  <c r="H15" i="2"/>
  <c r="F15" i="2"/>
  <c r="I14" i="2"/>
  <c r="H14" i="2"/>
  <c r="F14" i="2"/>
  <c r="F13" i="2"/>
  <c r="I13" i="2" s="1"/>
  <c r="F12" i="2"/>
  <c r="I12" i="2" s="1"/>
  <c r="I11" i="2"/>
  <c r="H11" i="2"/>
  <c r="F11" i="2"/>
  <c r="I10" i="2"/>
  <c r="H10" i="2"/>
  <c r="F10" i="2"/>
  <c r="F9" i="2"/>
  <c r="I9" i="2" s="1"/>
  <c r="F8" i="2"/>
  <c r="I8" i="2" s="1"/>
  <c r="I7" i="2"/>
  <c r="H7" i="2"/>
  <c r="F7" i="2"/>
  <c r="I6" i="2"/>
  <c r="H6" i="2"/>
  <c r="F6" i="2"/>
  <c r="F5" i="2"/>
  <c r="I5" i="2" s="1"/>
  <c r="F4" i="2"/>
  <c r="I4" i="2" s="1"/>
  <c r="I3" i="2"/>
  <c r="H3" i="2"/>
  <c r="F3" i="2"/>
  <c r="I2" i="2"/>
  <c r="H2" i="2"/>
  <c r="F2" i="2"/>
  <c r="B10" i="3" l="1"/>
  <c r="B5" i="3"/>
  <c r="B6" i="3" s="1"/>
  <c r="B14" i="3"/>
  <c r="B15" i="3"/>
  <c r="B16" i="3"/>
  <c r="H4" i="2"/>
  <c r="H8" i="2"/>
  <c r="H12" i="2"/>
  <c r="B11" i="3" s="1"/>
  <c r="H16" i="2"/>
  <c r="H20" i="2"/>
  <c r="B12" i="3" s="1"/>
  <c r="H24" i="2"/>
  <c r="H28" i="2"/>
  <c r="H32" i="2"/>
  <c r="H36" i="2"/>
  <c r="H40" i="2"/>
  <c r="H44" i="2"/>
  <c r="H48" i="2"/>
  <c r="H5" i="2"/>
  <c r="H9" i="2"/>
  <c r="H13" i="2"/>
  <c r="H17" i="2"/>
  <c r="H21" i="2"/>
  <c r="B13" i="3" s="1"/>
  <c r="H25" i="2"/>
  <c r="H29" i="2"/>
  <c r="H33" i="2"/>
  <c r="H37" i="2"/>
  <c r="H41" i="2"/>
  <c r="H45" i="2"/>
  <c r="B17" i="3" s="1"/>
  <c r="H49" i="2"/>
</calcChain>
</file>

<file path=xl/sharedStrings.xml><?xml version="1.0" encoding="utf-8"?>
<sst xmlns="http://schemas.openxmlformats.org/spreadsheetml/2006/main" count="329" uniqueCount="216">
  <si>
    <t>ServiceNow Instance Security Scorecard</t>
  </si>
  <si>
    <t>A self-assessment of your instance's security posture</t>
  </si>
  <si>
    <t>Prepared by Jeffrey Bella II</t>
  </si>
  <si>
    <t>Connect on LinkedIn: linkedin.com/in/jeffrey-bella-965873112</t>
  </si>
  <si>
    <t>How to use</t>
  </si>
  <si>
    <t>1. Go to the Scorecard tab. For each control, set Maturity (0-3) in the yellow column.</t>
  </si>
  <si>
    <t>2. Use Owner and Notes / Evidence to record who is responsible and what proves the control.</t>
  </si>
  <si>
    <t>3. The Summary tab updates automatically with your overall score, tier, and category breakdown.</t>
  </si>
  <si>
    <t>4. Re-run quarterly and watch the trend. Movement matters more than any single number.</t>
  </si>
  <si>
    <t>Maturity scale</t>
  </si>
  <si>
    <t>0  Not implemented</t>
  </si>
  <si>
    <t>1  Partially implemented</t>
  </si>
  <si>
    <t>2  Largely implemented</t>
  </si>
  <si>
    <t>3  Fully implemented and verified</t>
  </si>
  <si>
    <t>N/A  Not applicable to this instance (excluded from scoring)</t>
  </si>
  <si>
    <t>How scoring works</t>
  </si>
  <si>
    <t>Each control is weighted by criticality: Critical = 3, High = 2, Medium = 1.</t>
  </si>
  <si>
    <t>Score = maturity x weight. Category and overall scores are the percent of the maximum possible.</t>
  </si>
  <si>
    <t>Controls set to N/A are removed from the calculation, so they never count against you.</t>
  </si>
  <si>
    <t>Tiers: At Risk (0-25%), Developing (26-50%), Defined (51-75%), Managed (76-90%), Optimized (91-100%).</t>
  </si>
  <si>
    <t>Note</t>
  </si>
  <si>
    <t>This is an independent self-assessment aid, not an official ServiceNow product, and not a substitute for a formal audit. Adapt the controls to your release, plugins, and risk profile.</t>
  </si>
  <si>
    <t>Category</t>
  </si>
  <si>
    <t>ID</t>
  </si>
  <si>
    <t>Control</t>
  </si>
  <si>
    <t>Why it matters</t>
  </si>
  <si>
    <t>Criticality</t>
  </si>
  <si>
    <t>Weight</t>
  </si>
  <si>
    <t>Maturity (0-3)</t>
  </si>
  <si>
    <t>Score</t>
  </si>
  <si>
    <t>Max</t>
  </si>
  <si>
    <t>Owner</t>
  </si>
  <si>
    <t>Notes / Evidence</t>
  </si>
  <si>
    <t>Access Control &amp; Authorization</t>
  </si>
  <si>
    <t>AC-01</t>
  </si>
  <si>
    <t>Least-privilege ACLs; no overly permissive table/field ACLs</t>
  </si>
  <si>
    <t>Broad ACLs are the most common path to unauthorized data access</t>
  </si>
  <si>
    <t>Critical</t>
  </si>
  <si>
    <t>AC-02</t>
  </si>
  <si>
    <t>Default-deny security model enforced (deny unless explicitly allowed)</t>
  </si>
  <si>
    <t>Without default deny, new tables can be world-readable</t>
  </si>
  <si>
    <t>AC-03</t>
  </si>
  <si>
    <t>Admin role membership reviewed and minimized</t>
  </si>
  <si>
    <t>Excess admins expand the blast radius of any compromised account</t>
  </si>
  <si>
    <t>AC-04</t>
  </si>
  <si>
    <t>High-security elevation (security_admin) required for sensitive operations</t>
  </si>
  <si>
    <t>Elevation prevents standing privileged access</t>
  </si>
  <si>
    <t>High</t>
  </si>
  <si>
    <t>AC-05</t>
  </si>
  <si>
    <t>Explicit Roles plugin enabled; roles scoped to least privilege</t>
  </si>
  <si>
    <t>Limits implicit role inheritance that over-grants access</t>
  </si>
  <si>
    <t>AC-06</t>
  </si>
  <si>
    <t>Row-level / contextual security on sensitive tables</t>
  </si>
  <si>
    <t>Protects sensitive records beyond table-level ACLs</t>
  </si>
  <si>
    <t>AC-07</t>
  </si>
  <si>
    <t>Guest and public-facing access reviewed and restricted</t>
  </si>
  <si>
    <t>Public pages are a common unauthenticated exposure</t>
  </si>
  <si>
    <t>AC-08</t>
  </si>
  <si>
    <t>Separation of duties enforced for sensitive role combinations</t>
  </si>
  <si>
    <t>Prevents one user from holding conflicting privileges</t>
  </si>
  <si>
    <t>Medium</t>
  </si>
  <si>
    <t>Authentication &amp; Identity</t>
  </si>
  <si>
    <t>AU-01</t>
  </si>
  <si>
    <t>Strong password policy (length, complexity, history, expiry)</t>
  </si>
  <si>
    <t>Weak passwords remain a leading breach vector</t>
  </si>
  <si>
    <t>AU-02</t>
  </si>
  <si>
    <t>MFA enforced for all interactive users</t>
  </si>
  <si>
    <t>MFA blocks the majority of credential-based attacks</t>
  </si>
  <si>
    <t>AU-03</t>
  </si>
  <si>
    <t>MFA required for all privileged and admin accounts</t>
  </si>
  <si>
    <t>Privileged accounts are the highest-value targets</t>
  </si>
  <si>
    <t>AU-04</t>
  </si>
  <si>
    <t>SSO/SAML integrated with corporate identity provider</t>
  </si>
  <si>
    <t>Centralizes identity, deprovisioning, and policy</t>
  </si>
  <si>
    <t>AU-05</t>
  </si>
  <si>
    <t>Account lockout after repeated failed logins</t>
  </si>
  <si>
    <t>Slows brute-force and password-spray attacks</t>
  </si>
  <si>
    <t>AU-06</t>
  </si>
  <si>
    <t>Local (non-federated) accounts minimized and justified</t>
  </si>
  <si>
    <t>Local accounts bypass central identity controls</t>
  </si>
  <si>
    <t>Session Management</t>
  </si>
  <si>
    <t>SM-01</t>
  </si>
  <si>
    <t>Inactivity session timeout configured</t>
  </si>
  <si>
    <t>Limits exposure of unattended authenticated sessions</t>
  </si>
  <si>
    <t>SM-02</t>
  </si>
  <si>
    <t>Absolute session timeout enforced</t>
  </si>
  <si>
    <t>Caps total session lifetime regardless of activity</t>
  </si>
  <si>
    <t>SM-03</t>
  </si>
  <si>
    <t>Anti-CSRF token enforcement enabled</t>
  </si>
  <si>
    <t>Prevents cross-site request forgery against users</t>
  </si>
  <si>
    <t>SM-04</t>
  </si>
  <si>
    <t>Session cookies secured (HTTPOnly and Secure flags)</t>
  </si>
  <si>
    <t>Protects session tokens from theft</t>
  </si>
  <si>
    <t>SM-05</t>
  </si>
  <si>
    <t>Concurrent session and window controls applied</t>
  </si>
  <si>
    <t>Detects and limits session sharing or hijacking</t>
  </si>
  <si>
    <t>Instance Hardening</t>
  </si>
  <si>
    <t>IH-01</t>
  </si>
  <si>
    <t>High Security Settings plugin enabled</t>
  </si>
  <si>
    <t>Baseline for many platform hardening defaults</t>
  </si>
  <si>
    <t>IH-02</t>
  </si>
  <si>
    <t>URL allow-list configured for redirects</t>
  </si>
  <si>
    <t>Blocks open-redirect and phishing pivots</t>
  </si>
  <si>
    <t>IH-03</t>
  </si>
  <si>
    <t>Clickjacking / iframe embedding protection enabled</t>
  </si>
  <si>
    <t>Prevents UI-redress (clickjacking) attacks</t>
  </si>
  <si>
    <t>IH-04</t>
  </si>
  <si>
    <t>Content Security Policy configured</t>
  </si>
  <si>
    <t>Reduces cross-site scripting and injection impact</t>
  </si>
  <si>
    <t>IH-05</t>
  </si>
  <si>
    <t>HSTS enabled to force HTTPS</t>
  </si>
  <si>
    <t>Prevents protocol-downgrade interception</t>
  </si>
  <si>
    <t>IH-06</t>
  </si>
  <si>
    <t>Unused legacy endpoints and processors disabled</t>
  </si>
  <si>
    <t>Shrinks the attack surface</t>
  </si>
  <si>
    <t>IH-07</t>
  </si>
  <si>
    <t>IP-based access control for admin and privileged access</t>
  </si>
  <si>
    <t>Restricts admin access to known networks</t>
  </si>
  <si>
    <t>Service Account Governance</t>
  </si>
  <si>
    <t>SA-01</t>
  </si>
  <si>
    <t>Complete inventory of service and integration accounts maintained</t>
  </si>
  <si>
    <t>You cannot govern accounts you cannot see</t>
  </si>
  <si>
    <t>SA-02</t>
  </si>
  <si>
    <t>Service accounts follow least privilege (no default admin)</t>
  </si>
  <si>
    <t>Over-privileged integrations are a top lateral-movement risk</t>
  </si>
  <si>
    <t>SA-03</t>
  </si>
  <si>
    <t>Named human owner assigned to every service account</t>
  </si>
  <si>
    <t>Ownership enables accountability and offboarding</t>
  </si>
  <si>
    <t>SA-04</t>
  </si>
  <si>
    <t>Credential rotation policy defined and followed</t>
  </si>
  <si>
    <t>Static long-lived credentials are high-value targets</t>
  </si>
  <si>
    <t>SA-05</t>
  </si>
  <si>
    <t>Service accounts classified (internal, external, web-service-only)</t>
  </si>
  <si>
    <t>Classification drives the correct controls per account type</t>
  </si>
  <si>
    <t>SA-06</t>
  </si>
  <si>
    <t>Interactive login disabled for non-human accounts</t>
  </si>
  <si>
    <t>Service accounts should not log in like users</t>
  </si>
  <si>
    <t>SA-07</t>
  </si>
  <si>
    <t>Service account activity monitored and alerted</t>
  </si>
  <si>
    <t>Detects misuse of integration credentials</t>
  </si>
  <si>
    <t>Data Protection</t>
  </si>
  <si>
    <t>DP-01</t>
  </si>
  <si>
    <t>Sensitive fields encrypted (column-level or edge)</t>
  </si>
  <si>
    <t>Protects regulated data at rest</t>
  </si>
  <si>
    <t>DP-02</t>
  </si>
  <si>
    <t>Data classification applied to sensitive tables and fields</t>
  </si>
  <si>
    <t>Classification is the basis for proportionate controls</t>
  </si>
  <si>
    <t>DP-03</t>
  </si>
  <si>
    <t>Attachment controls: allowed types restricted, malware scanning</t>
  </si>
  <si>
    <t>Attachments are a common malware and exfiltration channel</t>
  </si>
  <si>
    <t>DP-04</t>
  </si>
  <si>
    <t>PII handling and masking implemented</t>
  </si>
  <si>
    <t>Limits unnecessary exposure of personal data</t>
  </si>
  <si>
    <t>DP-05</t>
  </si>
  <si>
    <t>Database views and data exports access-controlled</t>
  </si>
  <si>
    <t>Exports can bypass record-level protections</t>
  </si>
  <si>
    <t>Integration &amp; API Security</t>
  </si>
  <si>
    <t>IN-01</t>
  </si>
  <si>
    <t>Inbound REST/SOAP requires authentication (no anonymous)</t>
  </si>
  <si>
    <t>Anonymous endpoints are direct exposure</t>
  </si>
  <si>
    <t>IN-02</t>
  </si>
  <si>
    <t>OAuth 2.0 used for integrations where supported</t>
  </si>
  <si>
    <t>Token-based auth beats shared static credentials</t>
  </si>
  <si>
    <t>IN-03</t>
  </si>
  <si>
    <t>Inbound integration accounts scoped and monitored</t>
  </si>
  <si>
    <t>Limits what a compromised integration can reach</t>
  </si>
  <si>
    <t>IN-04</t>
  </si>
  <si>
    <t>API rate limiting and inbound throttling configured</t>
  </si>
  <si>
    <t>Mitigates abuse and denial-of-service</t>
  </si>
  <si>
    <t>IN-05</t>
  </si>
  <si>
    <t>Outbound integrations use TLS and vaulted credentials</t>
  </si>
  <si>
    <t>Protects credentials and data in transit</t>
  </si>
  <si>
    <t>Logging &amp; Monitoring</t>
  </si>
  <si>
    <t>LO-01</t>
  </si>
  <si>
    <t>Field-level auditing enabled on sensitive tables</t>
  </si>
  <si>
    <t>Provides a forensic trail for sensitive changes</t>
  </si>
  <si>
    <t>LO-02</t>
  </si>
  <si>
    <t>Security events forwarded to a SIEM</t>
  </si>
  <si>
    <t>Enables central detection and response</t>
  </si>
  <si>
    <t>LO-03</t>
  </si>
  <si>
    <t>Login and transaction logs retained per policy</t>
  </si>
  <si>
    <t>Supports investigation and compliance</t>
  </si>
  <si>
    <t>LO-04</t>
  </si>
  <si>
    <t>Instance hardening / compliance score monitored over time</t>
  </si>
  <si>
    <t>Tracks drift in security posture</t>
  </si>
  <si>
    <t>LO-05</t>
  </si>
  <si>
    <t>Alerting configured for high-risk security events</t>
  </si>
  <si>
    <t>Turns logs into timely response</t>
  </si>
  <si>
    <t>Email &amp; Notification Security</t>
  </si>
  <si>
    <t>EM-01</t>
  </si>
  <si>
    <t>Inbound email actions restricted and validated</t>
  </si>
  <si>
    <t>Inbound email can trigger unintended automation</t>
  </si>
  <si>
    <t>EM-02</t>
  </si>
  <si>
    <t>Outbound email restricted in non-production instances</t>
  </si>
  <si>
    <t>Prevents test instances emailing real users</t>
  </si>
  <si>
    <t>EM-03</t>
  </si>
  <si>
    <t>Sender and spam filtering configured</t>
  </si>
  <si>
    <t>Reduces phishing and spoofed inbound mail</t>
  </si>
  <si>
    <t>Posture summary  |  prepared by Jeffrey Bella II</t>
  </si>
  <si>
    <t>linkedin.com/in/jeffrey-bella-965873112</t>
  </si>
  <si>
    <t>OVERALL POSTURE</t>
  </si>
  <si>
    <t>Maturity tier</t>
  </si>
  <si>
    <t>Controls</t>
  </si>
  <si>
    <t>Maturity tiers</t>
  </si>
  <si>
    <t>At Risk</t>
  </si>
  <si>
    <t>0 - 25%</t>
  </si>
  <si>
    <t>Developing</t>
  </si>
  <si>
    <t>26 - 50%</t>
  </si>
  <si>
    <t>Defined</t>
  </si>
  <si>
    <t>51 - 75%</t>
  </si>
  <si>
    <t>Managed</t>
  </si>
  <si>
    <t>76 - 90%</t>
  </si>
  <si>
    <t>Optimized</t>
  </si>
  <si>
    <t>91 - 100%</t>
  </si>
  <si>
    <t>LowerBound</t>
  </si>
  <si>
    <t>Tier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</si>
</sst>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charset val="1"/>
    </font>
    <font>
      <b/>
      <sz val="20"/>
      <color rgb="FF1F2A44"/>
      <name val="Calibri"/>
      <charset val="1"/>
    </font>
    <font>
      <sz val="11"/>
      <color rgb="FF606060"/>
      <name val="Calibri"/>
      <charset val="1"/>
    </font>
    <font>
      <sz val="10"/>
      <color rgb="FF606060"/>
      <name val="Calibri"/>
      <charset val="1"/>
    </font>
    <font>
      <u/>
      <sz val="10"/>
      <color rgb="FF0563C1"/>
      <name val="Calibri"/>
      <charset val="1"/>
    </font>
    <font>
      <b/>
      <sz val="13"/>
      <color rgb="FF2E5E4E"/>
      <name val="Calibri"/>
      <charset val="1"/>
    </font>
    <font>
      <sz val="11"/>
      <color rgb="FF000000"/>
      <name val="Calibri"/>
      <charset val="1"/>
    </font>
    <font>
      <b/>
      <sz val="11"/>
      <color rgb="FFFFFFFF"/>
      <name val="Calibri"/>
      <charset val="1"/>
    </font>
    <font>
      <sz val="10"/>
      <color rgb="FF000000"/>
      <name val="Calibri"/>
      <charset val="1"/>
    </font>
    <font>
      <b/>
      <sz val="10"/>
      <color rgb="FF000000"/>
      <name val="Calibri"/>
      <charset val="1"/>
    </font>
    <font>
      <b/>
      <sz val="18"/>
      <color rgb="FF1F2A44"/>
      <name val="Calibri"/>
      <charset val="1"/>
    </font>
    <font>
      <b/>
      <sz val="11"/>
      <color rgb="FF000000"/>
      <name val="Calibri"/>
      <charset val="1"/>
    </font>
    <font>
      <b/>
      <sz val="14"/>
      <color rgb="FF2E5E4E"/>
      <name val="Calibri"/>
      <charset val="1"/>
    </font>
    <font>
      <b/>
      <sz val="11"/>
      <color rgb="FF1F2A4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4EEE9"/>
        <bgColor rgb="FFD9D9D9"/>
      </patternFill>
    </fill>
    <fill>
      <patternFill patternType="solid">
        <fgColor rgb="FFFFF6CC"/>
        <bgColor rgb="FFFFFFFF"/>
      </patternFill>
    </fill>
    <fill>
      <patternFill patternType="solid">
        <fgColor rgb="FFFFFFFF"/>
        <bgColor rgb="FFFFF6CC"/>
      </patternFill>
    </fill>
    <fill>
      <patternFill patternType="solid">
        <fgColor rgb="FF2E5E4E"/>
        <bgColor rgb="FF60606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6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horizontal="center" vertical="top"/>
    </xf>
    <xf numFmtId="0" fontId="9" fillId="4" borderId="1" xfId="0" applyFont="1" applyFill="1" applyBorder="1" applyAlignment="1">
      <alignment horizontal="center" vertical="top"/>
    </xf>
    <xf numFmtId="0" fontId="8" fillId="5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top"/>
    </xf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0" xfId="0" applyFont="1"/>
    <xf numFmtId="0" fontId="9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5E4E"/>
      <rgbColor rgb="FFC0C0C0"/>
      <rgbColor rgb="FF878787"/>
      <rgbColor rgb="FF9999FF"/>
      <rgbColor rgb="FF993366"/>
      <rgbColor rgb="FFFFF6CC"/>
      <rgbColor rgb="FFE4EEE9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0606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Category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Summary!$A$10:$A$18</c:f>
              <c:strCache>
                <c:ptCount val="9"/>
                <c:pt idx="0">
                  <c:v>Access Control &amp; Authorization</c:v>
                </c:pt>
                <c:pt idx="1">
                  <c:v>Authentication &amp; Identity</c:v>
                </c:pt>
                <c:pt idx="2">
                  <c:v>Session Management</c:v>
                </c:pt>
                <c:pt idx="3">
                  <c:v>Instance Hardening</c:v>
                </c:pt>
                <c:pt idx="4">
                  <c:v>Service Account Governance</c:v>
                </c:pt>
                <c:pt idx="5">
                  <c:v>Data Protection</c:v>
                </c:pt>
                <c:pt idx="6">
                  <c:v>Integration &amp; API Security</c:v>
                </c:pt>
                <c:pt idx="7">
                  <c:v>Logging &amp; Monitoring</c:v>
                </c:pt>
                <c:pt idx="8">
                  <c:v>Email &amp; Notification Security</c:v>
                </c:pt>
              </c:strCache>
            </c:strRef>
          </c:cat>
          <c:val>
            <c:numRef>
              <c:f>Summary!$B$10:$B$18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3-478A-8FD7-5AFAD4C2D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363578"/>
        <c:axId val="39367111"/>
      </c:barChart>
      <c:catAx>
        <c:axId val="5236357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9367111"/>
        <c:crosses val="autoZero"/>
        <c:auto val="1"/>
        <c:lblAlgn val="ctr"/>
        <c:lblOffset val="100"/>
        <c:noMultiLvlLbl val="0"/>
      </c:catAx>
      <c:valAx>
        <c:axId val="3936711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635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141480</xdr:rowOff>
    </xdr:from>
    <xdr:to>
      <xdr:col>14</xdr:col>
      <xdr:colOff>364320</xdr:colOff>
      <xdr:row>23</xdr:row>
      <xdr:rowOff>142560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in/jeffrey-bella-965873112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linkedin.com/in/jeffrey-bella-9658731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5"/>
  <sheetViews>
    <sheetView zoomScaleNormal="100" workbookViewId="0"/>
  </sheetViews>
  <sheetFormatPr defaultColWidth="8.6640625" defaultRowHeight="14.4" x14ac:dyDescent="0.3"/>
  <cols>
    <col min="1" max="1" width="4" customWidth="1"/>
    <col min="2" max="2" width="100" customWidth="1"/>
  </cols>
  <sheetData>
    <row r="1" spans="2:2" ht="25.8" x14ac:dyDescent="0.5">
      <c r="B1" s="2" t="s">
        <v>0</v>
      </c>
    </row>
    <row r="2" spans="2:2" x14ac:dyDescent="0.3">
      <c r="B2" s="3" t="s">
        <v>1</v>
      </c>
    </row>
    <row r="3" spans="2:2" x14ac:dyDescent="0.3">
      <c r="B3" s="4" t="s">
        <v>2</v>
      </c>
    </row>
    <row r="4" spans="2:2" x14ac:dyDescent="0.3">
      <c r="B4" s="5" t="s">
        <v>3</v>
      </c>
    </row>
    <row r="5" spans="2:2" ht="17.399999999999999" x14ac:dyDescent="0.3">
      <c r="B5" s="6" t="s">
        <v>4</v>
      </c>
    </row>
    <row r="6" spans="2:2" ht="15.75" customHeight="1" x14ac:dyDescent="0.3">
      <c r="B6" s="7" t="s">
        <v>5</v>
      </c>
    </row>
    <row r="7" spans="2:2" ht="15.75" customHeight="1" x14ac:dyDescent="0.3">
      <c r="B7" s="7" t="s">
        <v>6</v>
      </c>
    </row>
    <row r="8" spans="2:2" ht="15.75" customHeight="1" x14ac:dyDescent="0.3">
      <c r="B8" s="7" t="s">
        <v>7</v>
      </c>
    </row>
    <row r="9" spans="2:2" ht="15.75" customHeight="1" x14ac:dyDescent="0.3">
      <c r="B9" s="7" t="s">
        <v>8</v>
      </c>
    </row>
    <row r="11" spans="2:2" ht="17.399999999999999" x14ac:dyDescent="0.3">
      <c r="B11" s="6" t="s">
        <v>9</v>
      </c>
    </row>
    <row r="12" spans="2:2" x14ac:dyDescent="0.3">
      <c r="B12" s="7" t="s">
        <v>10</v>
      </c>
    </row>
    <row r="13" spans="2:2" x14ac:dyDescent="0.3">
      <c r="B13" s="7" t="s">
        <v>11</v>
      </c>
    </row>
    <row r="14" spans="2:2" x14ac:dyDescent="0.3">
      <c r="B14" s="7" t="s">
        <v>12</v>
      </c>
    </row>
    <row r="15" spans="2:2" x14ac:dyDescent="0.3">
      <c r="B15" s="7" t="s">
        <v>13</v>
      </c>
    </row>
    <row r="16" spans="2:2" x14ac:dyDescent="0.3">
      <c r="B16" s="7" t="s">
        <v>14</v>
      </c>
    </row>
    <row r="18" spans="2:2" ht="17.399999999999999" x14ac:dyDescent="0.3">
      <c r="B18" s="6" t="s">
        <v>15</v>
      </c>
    </row>
    <row r="19" spans="2:2" ht="15.75" customHeight="1" x14ac:dyDescent="0.3">
      <c r="B19" s="7" t="s">
        <v>16</v>
      </c>
    </row>
    <row r="20" spans="2:2" ht="15.75" customHeight="1" x14ac:dyDescent="0.3">
      <c r="B20" s="7" t="s">
        <v>17</v>
      </c>
    </row>
    <row r="21" spans="2:2" ht="15.75" customHeight="1" x14ac:dyDescent="0.3">
      <c r="B21" s="7" t="s">
        <v>18</v>
      </c>
    </row>
    <row r="22" spans="2:2" ht="15.75" customHeight="1" x14ac:dyDescent="0.3">
      <c r="B22" s="7" t="s">
        <v>19</v>
      </c>
    </row>
    <row r="24" spans="2:2" ht="17.399999999999999" x14ac:dyDescent="0.3">
      <c r="B24" s="6" t="s">
        <v>20</v>
      </c>
    </row>
    <row r="25" spans="2:2" ht="30" customHeight="1" x14ac:dyDescent="0.3">
      <c r="B25" s="8" t="s">
        <v>21</v>
      </c>
    </row>
  </sheetData>
  <hyperlinks>
    <hyperlink ref="B4" r:id="rId1" xr:uid="{00000000-0004-0000-00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2"/>
  <sheetViews>
    <sheetView tabSelected="1" topLeftCell="C1" zoomScaleNormal="100" workbookViewId="0">
      <pane ySplit="1" topLeftCell="A2" activePane="bottomLeft" state="frozen"/>
      <selection pane="bottomLeft" activeCell="G2" sqref="G2"/>
    </sheetView>
  </sheetViews>
  <sheetFormatPr defaultColWidth="8.6640625" defaultRowHeight="14.4" x14ac:dyDescent="0.3"/>
  <cols>
    <col min="1" max="1" width="24" customWidth="1"/>
    <col min="2" max="2" width="7" customWidth="1"/>
    <col min="3" max="4" width="46" customWidth="1"/>
    <col min="5" max="5" width="11" customWidth="1"/>
    <col min="6" max="6" width="8" customWidth="1"/>
    <col min="7" max="7" width="13" customWidth="1"/>
    <col min="8" max="8" width="7" customWidth="1"/>
    <col min="9" max="9" width="6" customWidth="1"/>
    <col min="10" max="10" width="16" customWidth="1"/>
    <col min="11" max="11" width="30" customWidth="1"/>
  </cols>
  <sheetData>
    <row r="1" spans="1:11" ht="30" customHeight="1" x14ac:dyDescent="0.3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</row>
    <row r="2" spans="1:11" ht="27.6" x14ac:dyDescent="0.3">
      <c r="A2" s="10" t="s">
        <v>33</v>
      </c>
      <c r="B2" s="11" t="s">
        <v>34</v>
      </c>
      <c r="C2" s="10" t="s">
        <v>35</v>
      </c>
      <c r="D2" s="10" t="s">
        <v>36</v>
      </c>
      <c r="E2" s="11" t="s">
        <v>37</v>
      </c>
      <c r="F2" s="11">
        <f>VLOOKUP(E2,Reference!$A$2:$B$4,2,FALSE())</f>
        <v>3</v>
      </c>
      <c r="G2" s="12">
        <v>0</v>
      </c>
      <c r="H2" s="11">
        <f t="shared" ref="H2:H33" si="0">IF(G2="N/A","",F2*G2)</f>
        <v>0</v>
      </c>
      <c r="I2" s="11">
        <f t="shared" ref="I2:I33" si="1">IF(G2="N/A","",F2*3)</f>
        <v>9</v>
      </c>
      <c r="J2" s="10"/>
      <c r="K2" s="10"/>
    </row>
    <row r="3" spans="1:11" ht="27.6" x14ac:dyDescent="0.3">
      <c r="A3" s="10" t="s">
        <v>33</v>
      </c>
      <c r="B3" s="11" t="s">
        <v>38</v>
      </c>
      <c r="C3" s="10" t="s">
        <v>39</v>
      </c>
      <c r="D3" s="10" t="s">
        <v>40</v>
      </c>
      <c r="E3" s="11" t="s">
        <v>37</v>
      </c>
      <c r="F3" s="11">
        <f>VLOOKUP(E3,Reference!$A$2:$B$4,2,FALSE())</f>
        <v>3</v>
      </c>
      <c r="G3" s="12">
        <v>0</v>
      </c>
      <c r="H3" s="11">
        <f t="shared" si="0"/>
        <v>0</v>
      </c>
      <c r="I3" s="11">
        <f t="shared" si="1"/>
        <v>9</v>
      </c>
      <c r="J3" s="10"/>
      <c r="K3" s="10"/>
    </row>
    <row r="4" spans="1:11" ht="27.6" x14ac:dyDescent="0.3">
      <c r="A4" s="10" t="s">
        <v>33</v>
      </c>
      <c r="B4" s="11" t="s">
        <v>41</v>
      </c>
      <c r="C4" s="10" t="s">
        <v>42</v>
      </c>
      <c r="D4" s="10" t="s">
        <v>43</v>
      </c>
      <c r="E4" s="11" t="s">
        <v>37</v>
      </c>
      <c r="F4" s="11">
        <f>VLOOKUP(E4,Reference!$A$2:$B$4,2,FALSE())</f>
        <v>3</v>
      </c>
      <c r="G4" s="12">
        <v>0</v>
      </c>
      <c r="H4" s="11">
        <f t="shared" si="0"/>
        <v>0</v>
      </c>
      <c r="I4" s="11">
        <f t="shared" si="1"/>
        <v>9</v>
      </c>
      <c r="J4" s="10"/>
      <c r="K4" s="10"/>
    </row>
    <row r="5" spans="1:11" ht="27.6" x14ac:dyDescent="0.3">
      <c r="A5" s="10" t="s">
        <v>33</v>
      </c>
      <c r="B5" s="11" t="s">
        <v>44</v>
      </c>
      <c r="C5" s="10" t="s">
        <v>45</v>
      </c>
      <c r="D5" s="10" t="s">
        <v>46</v>
      </c>
      <c r="E5" s="11" t="s">
        <v>47</v>
      </c>
      <c r="F5" s="11">
        <f>VLOOKUP(E5,Reference!$A$2:$B$4,2,FALSE())</f>
        <v>2</v>
      </c>
      <c r="G5" s="12">
        <v>0</v>
      </c>
      <c r="H5" s="11">
        <f t="shared" si="0"/>
        <v>0</v>
      </c>
      <c r="I5" s="11">
        <f t="shared" si="1"/>
        <v>6</v>
      </c>
      <c r="J5" s="10"/>
      <c r="K5" s="10"/>
    </row>
    <row r="6" spans="1:11" ht="27.6" x14ac:dyDescent="0.3">
      <c r="A6" s="10" t="s">
        <v>33</v>
      </c>
      <c r="B6" s="11" t="s">
        <v>48</v>
      </c>
      <c r="C6" s="10" t="s">
        <v>49</v>
      </c>
      <c r="D6" s="10" t="s">
        <v>50</v>
      </c>
      <c r="E6" s="11" t="s">
        <v>47</v>
      </c>
      <c r="F6" s="11">
        <f>VLOOKUP(E6,Reference!$A$2:$B$4,2,FALSE())</f>
        <v>2</v>
      </c>
      <c r="G6" s="12">
        <v>0</v>
      </c>
      <c r="H6" s="11">
        <f t="shared" si="0"/>
        <v>0</v>
      </c>
      <c r="I6" s="11">
        <f t="shared" si="1"/>
        <v>6</v>
      </c>
      <c r="J6" s="10"/>
      <c r="K6" s="10"/>
    </row>
    <row r="7" spans="1:11" ht="27.6" x14ac:dyDescent="0.3">
      <c r="A7" s="10" t="s">
        <v>33</v>
      </c>
      <c r="B7" s="11" t="s">
        <v>51</v>
      </c>
      <c r="C7" s="10" t="s">
        <v>52</v>
      </c>
      <c r="D7" s="10" t="s">
        <v>53</v>
      </c>
      <c r="E7" s="11" t="s">
        <v>47</v>
      </c>
      <c r="F7" s="11">
        <f>VLOOKUP(E7,Reference!$A$2:$B$4,2,FALSE())</f>
        <v>2</v>
      </c>
      <c r="G7" s="12">
        <v>0</v>
      </c>
      <c r="H7" s="11">
        <f t="shared" si="0"/>
        <v>0</v>
      </c>
      <c r="I7" s="11">
        <f t="shared" si="1"/>
        <v>6</v>
      </c>
      <c r="J7" s="10"/>
      <c r="K7" s="10"/>
    </row>
    <row r="8" spans="1:11" ht="27.6" x14ac:dyDescent="0.3">
      <c r="A8" s="10" t="s">
        <v>33</v>
      </c>
      <c r="B8" s="11" t="s">
        <v>54</v>
      </c>
      <c r="C8" s="10" t="s">
        <v>55</v>
      </c>
      <c r="D8" s="10" t="s">
        <v>56</v>
      </c>
      <c r="E8" s="11" t="s">
        <v>47</v>
      </c>
      <c r="F8" s="11">
        <f>VLOOKUP(E8,Reference!$A$2:$B$4,2,FALSE())</f>
        <v>2</v>
      </c>
      <c r="G8" s="12">
        <v>0</v>
      </c>
      <c r="H8" s="11">
        <f t="shared" si="0"/>
        <v>0</v>
      </c>
      <c r="I8" s="11">
        <f t="shared" si="1"/>
        <v>6</v>
      </c>
      <c r="J8" s="10"/>
      <c r="K8" s="10"/>
    </row>
    <row r="9" spans="1:11" ht="27.6" x14ac:dyDescent="0.3">
      <c r="A9" s="10" t="s">
        <v>33</v>
      </c>
      <c r="B9" s="11" t="s">
        <v>57</v>
      </c>
      <c r="C9" s="10" t="s">
        <v>58</v>
      </c>
      <c r="D9" s="10" t="s">
        <v>59</v>
      </c>
      <c r="E9" s="11" t="s">
        <v>60</v>
      </c>
      <c r="F9" s="11">
        <f>VLOOKUP(E9,Reference!$A$2:$B$4,2,FALSE())</f>
        <v>1</v>
      </c>
      <c r="G9" s="12">
        <v>0</v>
      </c>
      <c r="H9" s="11">
        <f t="shared" si="0"/>
        <v>0</v>
      </c>
      <c r="I9" s="11">
        <f t="shared" si="1"/>
        <v>3</v>
      </c>
      <c r="J9" s="10"/>
      <c r="K9" s="10"/>
    </row>
    <row r="10" spans="1:11" ht="27.6" x14ac:dyDescent="0.3">
      <c r="A10" s="13" t="s">
        <v>61</v>
      </c>
      <c r="B10" s="14" t="s">
        <v>62</v>
      </c>
      <c r="C10" s="13" t="s">
        <v>63</v>
      </c>
      <c r="D10" s="13" t="s">
        <v>64</v>
      </c>
      <c r="E10" s="14" t="s">
        <v>47</v>
      </c>
      <c r="F10" s="14">
        <f>VLOOKUP(E10,Reference!$A$2:$B$4,2,FALSE())</f>
        <v>2</v>
      </c>
      <c r="G10" s="12">
        <v>0</v>
      </c>
      <c r="H10" s="14">
        <f t="shared" si="0"/>
        <v>0</v>
      </c>
      <c r="I10" s="14">
        <f t="shared" si="1"/>
        <v>6</v>
      </c>
      <c r="J10" s="13"/>
      <c r="K10" s="13"/>
    </row>
    <row r="11" spans="1:11" x14ac:dyDescent="0.3">
      <c r="A11" s="13" t="s">
        <v>61</v>
      </c>
      <c r="B11" s="14" t="s">
        <v>65</v>
      </c>
      <c r="C11" s="13" t="s">
        <v>66</v>
      </c>
      <c r="D11" s="13" t="s">
        <v>67</v>
      </c>
      <c r="E11" s="14" t="s">
        <v>37</v>
      </c>
      <c r="F11" s="14">
        <f>VLOOKUP(E11,Reference!$A$2:$B$4,2,FALSE())</f>
        <v>3</v>
      </c>
      <c r="G11" s="12">
        <v>0</v>
      </c>
      <c r="H11" s="14">
        <f t="shared" si="0"/>
        <v>0</v>
      </c>
      <c r="I11" s="14">
        <f t="shared" si="1"/>
        <v>9</v>
      </c>
      <c r="J11" s="13"/>
      <c r="K11" s="13"/>
    </row>
    <row r="12" spans="1:11" x14ac:dyDescent="0.3">
      <c r="A12" s="13" t="s">
        <v>61</v>
      </c>
      <c r="B12" s="14" t="s">
        <v>68</v>
      </c>
      <c r="C12" s="13" t="s">
        <v>69</v>
      </c>
      <c r="D12" s="13" t="s">
        <v>70</v>
      </c>
      <c r="E12" s="14" t="s">
        <v>37</v>
      </c>
      <c r="F12" s="14">
        <f>VLOOKUP(E12,Reference!$A$2:$B$4,2,FALSE())</f>
        <v>3</v>
      </c>
      <c r="G12" s="12">
        <v>0</v>
      </c>
      <c r="H12" s="14">
        <f t="shared" si="0"/>
        <v>0</v>
      </c>
      <c r="I12" s="14">
        <f t="shared" si="1"/>
        <v>9</v>
      </c>
      <c r="J12" s="13"/>
      <c r="K12" s="13"/>
    </row>
    <row r="13" spans="1:11" x14ac:dyDescent="0.3">
      <c r="A13" s="13" t="s">
        <v>61</v>
      </c>
      <c r="B13" s="14" t="s">
        <v>71</v>
      </c>
      <c r="C13" s="13" t="s">
        <v>72</v>
      </c>
      <c r="D13" s="13" t="s">
        <v>73</v>
      </c>
      <c r="E13" s="14" t="s">
        <v>47</v>
      </c>
      <c r="F13" s="14">
        <f>VLOOKUP(E13,Reference!$A$2:$B$4,2,FALSE())</f>
        <v>2</v>
      </c>
      <c r="G13" s="12">
        <v>0</v>
      </c>
      <c r="H13" s="14">
        <f t="shared" si="0"/>
        <v>0</v>
      </c>
      <c r="I13" s="14">
        <f t="shared" si="1"/>
        <v>6</v>
      </c>
      <c r="J13" s="13"/>
      <c r="K13" s="13"/>
    </row>
    <row r="14" spans="1:11" x14ac:dyDescent="0.3">
      <c r="A14" s="13" t="s">
        <v>61</v>
      </c>
      <c r="B14" s="14" t="s">
        <v>74</v>
      </c>
      <c r="C14" s="13" t="s">
        <v>75</v>
      </c>
      <c r="D14" s="13" t="s">
        <v>76</v>
      </c>
      <c r="E14" s="14" t="s">
        <v>60</v>
      </c>
      <c r="F14" s="14">
        <f>VLOOKUP(E14,Reference!$A$2:$B$4,2,FALSE())</f>
        <v>1</v>
      </c>
      <c r="G14" s="12">
        <v>0</v>
      </c>
      <c r="H14" s="14">
        <f t="shared" si="0"/>
        <v>0</v>
      </c>
      <c r="I14" s="14">
        <f t="shared" si="1"/>
        <v>3</v>
      </c>
      <c r="J14" s="13"/>
      <c r="K14" s="13"/>
    </row>
    <row r="15" spans="1:11" x14ac:dyDescent="0.3">
      <c r="A15" s="13" t="s">
        <v>61</v>
      </c>
      <c r="B15" s="14" t="s">
        <v>77</v>
      </c>
      <c r="C15" s="13" t="s">
        <v>78</v>
      </c>
      <c r="D15" s="13" t="s">
        <v>79</v>
      </c>
      <c r="E15" s="14" t="s">
        <v>60</v>
      </c>
      <c r="F15" s="14">
        <f>VLOOKUP(E15,Reference!$A$2:$B$4,2,FALSE())</f>
        <v>1</v>
      </c>
      <c r="G15" s="12">
        <v>0</v>
      </c>
      <c r="H15" s="14">
        <f t="shared" si="0"/>
        <v>0</v>
      </c>
      <c r="I15" s="14">
        <f t="shared" si="1"/>
        <v>3</v>
      </c>
      <c r="J15" s="13"/>
      <c r="K15" s="13"/>
    </row>
    <row r="16" spans="1:11" x14ac:dyDescent="0.3">
      <c r="A16" s="10" t="s">
        <v>80</v>
      </c>
      <c r="B16" s="11" t="s">
        <v>81</v>
      </c>
      <c r="C16" s="10" t="s">
        <v>82</v>
      </c>
      <c r="D16" s="10" t="s">
        <v>83</v>
      </c>
      <c r="E16" s="11" t="s">
        <v>47</v>
      </c>
      <c r="F16" s="11">
        <f>VLOOKUP(E16,Reference!$A$2:$B$4,2,FALSE())</f>
        <v>2</v>
      </c>
      <c r="G16" s="12">
        <v>0</v>
      </c>
      <c r="H16" s="11">
        <f t="shared" si="0"/>
        <v>0</v>
      </c>
      <c r="I16" s="11">
        <f t="shared" si="1"/>
        <v>6</v>
      </c>
      <c r="J16" s="10"/>
      <c r="K16" s="10"/>
    </row>
    <row r="17" spans="1:11" x14ac:dyDescent="0.3">
      <c r="A17" s="10" t="s">
        <v>80</v>
      </c>
      <c r="B17" s="11" t="s">
        <v>84</v>
      </c>
      <c r="C17" s="10" t="s">
        <v>85</v>
      </c>
      <c r="D17" s="10" t="s">
        <v>86</v>
      </c>
      <c r="E17" s="11" t="s">
        <v>60</v>
      </c>
      <c r="F17" s="11">
        <f>VLOOKUP(E17,Reference!$A$2:$B$4,2,FALSE())</f>
        <v>1</v>
      </c>
      <c r="G17" s="12">
        <v>0</v>
      </c>
      <c r="H17" s="11">
        <f t="shared" si="0"/>
        <v>0</v>
      </c>
      <c r="I17" s="11">
        <f t="shared" si="1"/>
        <v>3</v>
      </c>
      <c r="J17" s="10"/>
      <c r="K17" s="10"/>
    </row>
    <row r="18" spans="1:11" x14ac:dyDescent="0.3">
      <c r="A18" s="10" t="s">
        <v>80</v>
      </c>
      <c r="B18" s="11" t="s">
        <v>87</v>
      </c>
      <c r="C18" s="10" t="s">
        <v>88</v>
      </c>
      <c r="D18" s="10" t="s">
        <v>89</v>
      </c>
      <c r="E18" s="11" t="s">
        <v>47</v>
      </c>
      <c r="F18" s="11">
        <f>VLOOKUP(E18,Reference!$A$2:$B$4,2,FALSE())</f>
        <v>2</v>
      </c>
      <c r="G18" s="12">
        <v>0</v>
      </c>
      <c r="H18" s="11">
        <f t="shared" si="0"/>
        <v>0</v>
      </c>
      <c r="I18" s="11">
        <f t="shared" si="1"/>
        <v>6</v>
      </c>
      <c r="J18" s="10"/>
      <c r="K18" s="10"/>
    </row>
    <row r="19" spans="1:11" x14ac:dyDescent="0.3">
      <c r="A19" s="10" t="s">
        <v>80</v>
      </c>
      <c r="B19" s="11" t="s">
        <v>90</v>
      </c>
      <c r="C19" s="10" t="s">
        <v>91</v>
      </c>
      <c r="D19" s="10" t="s">
        <v>92</v>
      </c>
      <c r="E19" s="11" t="s">
        <v>47</v>
      </c>
      <c r="F19" s="11">
        <f>VLOOKUP(E19,Reference!$A$2:$B$4,2,FALSE())</f>
        <v>2</v>
      </c>
      <c r="G19" s="12">
        <v>0</v>
      </c>
      <c r="H19" s="11">
        <f t="shared" si="0"/>
        <v>0</v>
      </c>
      <c r="I19" s="11">
        <f t="shared" si="1"/>
        <v>6</v>
      </c>
      <c r="J19" s="10"/>
      <c r="K19" s="10"/>
    </row>
    <row r="20" spans="1:11" x14ac:dyDescent="0.3">
      <c r="A20" s="10" t="s">
        <v>80</v>
      </c>
      <c r="B20" s="11" t="s">
        <v>93</v>
      </c>
      <c r="C20" s="10" t="s">
        <v>94</v>
      </c>
      <c r="D20" s="10" t="s">
        <v>95</v>
      </c>
      <c r="E20" s="11" t="s">
        <v>60</v>
      </c>
      <c r="F20" s="11">
        <f>VLOOKUP(E20,Reference!$A$2:$B$4,2,FALSE())</f>
        <v>1</v>
      </c>
      <c r="G20" s="12">
        <v>0</v>
      </c>
      <c r="H20" s="11">
        <f t="shared" si="0"/>
        <v>0</v>
      </c>
      <c r="I20" s="11">
        <f t="shared" si="1"/>
        <v>3</v>
      </c>
      <c r="J20" s="10"/>
      <c r="K20" s="10"/>
    </row>
    <row r="21" spans="1:11" x14ac:dyDescent="0.3">
      <c r="A21" s="13" t="s">
        <v>96</v>
      </c>
      <c r="B21" s="14" t="s">
        <v>97</v>
      </c>
      <c r="C21" s="13" t="s">
        <v>98</v>
      </c>
      <c r="D21" s="13" t="s">
        <v>99</v>
      </c>
      <c r="E21" s="14" t="s">
        <v>37</v>
      </c>
      <c r="F21" s="14">
        <f>VLOOKUP(E21,Reference!$A$2:$B$4,2,FALSE())</f>
        <v>3</v>
      </c>
      <c r="G21" s="12">
        <v>0</v>
      </c>
      <c r="H21" s="14">
        <f t="shared" si="0"/>
        <v>0</v>
      </c>
      <c r="I21" s="14">
        <f t="shared" si="1"/>
        <v>9</v>
      </c>
      <c r="J21" s="13"/>
      <c r="K21" s="13"/>
    </row>
    <row r="22" spans="1:11" x14ac:dyDescent="0.3">
      <c r="A22" s="13" t="s">
        <v>96</v>
      </c>
      <c r="B22" s="14" t="s">
        <v>100</v>
      </c>
      <c r="C22" s="13" t="s">
        <v>101</v>
      </c>
      <c r="D22" s="13" t="s">
        <v>102</v>
      </c>
      <c r="E22" s="14" t="s">
        <v>47</v>
      </c>
      <c r="F22" s="14">
        <f>VLOOKUP(E22,Reference!$A$2:$B$4,2,FALSE())</f>
        <v>2</v>
      </c>
      <c r="G22" s="12">
        <v>0</v>
      </c>
      <c r="H22" s="14">
        <f t="shared" si="0"/>
        <v>0</v>
      </c>
      <c r="I22" s="14">
        <f t="shared" si="1"/>
        <v>6</v>
      </c>
      <c r="J22" s="13"/>
      <c r="K22" s="13"/>
    </row>
    <row r="23" spans="1:11" x14ac:dyDescent="0.3">
      <c r="A23" s="13" t="s">
        <v>96</v>
      </c>
      <c r="B23" s="14" t="s">
        <v>103</v>
      </c>
      <c r="C23" s="13" t="s">
        <v>104</v>
      </c>
      <c r="D23" s="13" t="s">
        <v>105</v>
      </c>
      <c r="E23" s="14" t="s">
        <v>47</v>
      </c>
      <c r="F23" s="14">
        <f>VLOOKUP(E23,Reference!$A$2:$B$4,2,FALSE())</f>
        <v>2</v>
      </c>
      <c r="G23" s="12">
        <v>0</v>
      </c>
      <c r="H23" s="14">
        <f t="shared" si="0"/>
        <v>0</v>
      </c>
      <c r="I23" s="14">
        <f t="shared" si="1"/>
        <v>6</v>
      </c>
      <c r="J23" s="13"/>
      <c r="K23" s="13"/>
    </row>
    <row r="24" spans="1:11" x14ac:dyDescent="0.3">
      <c r="A24" s="13" t="s">
        <v>96</v>
      </c>
      <c r="B24" s="14" t="s">
        <v>106</v>
      </c>
      <c r="C24" s="13" t="s">
        <v>107</v>
      </c>
      <c r="D24" s="13" t="s">
        <v>108</v>
      </c>
      <c r="E24" s="14" t="s">
        <v>60</v>
      </c>
      <c r="F24" s="14">
        <f>VLOOKUP(E24,Reference!$A$2:$B$4,2,FALSE())</f>
        <v>1</v>
      </c>
      <c r="G24" s="12">
        <v>0</v>
      </c>
      <c r="H24" s="14">
        <f t="shared" si="0"/>
        <v>0</v>
      </c>
      <c r="I24" s="14">
        <f t="shared" si="1"/>
        <v>3</v>
      </c>
      <c r="J24" s="13"/>
      <c r="K24" s="13"/>
    </row>
    <row r="25" spans="1:11" x14ac:dyDescent="0.3">
      <c r="A25" s="13" t="s">
        <v>96</v>
      </c>
      <c r="B25" s="14" t="s">
        <v>109</v>
      </c>
      <c r="C25" s="13" t="s">
        <v>110</v>
      </c>
      <c r="D25" s="13" t="s">
        <v>111</v>
      </c>
      <c r="E25" s="14" t="s">
        <v>60</v>
      </c>
      <c r="F25" s="14">
        <f>VLOOKUP(E25,Reference!$A$2:$B$4,2,FALSE())</f>
        <v>1</v>
      </c>
      <c r="G25" s="12">
        <v>0</v>
      </c>
      <c r="H25" s="14">
        <f t="shared" si="0"/>
        <v>0</v>
      </c>
      <c r="I25" s="14">
        <f t="shared" si="1"/>
        <v>3</v>
      </c>
      <c r="J25" s="13"/>
      <c r="K25" s="13"/>
    </row>
    <row r="26" spans="1:11" x14ac:dyDescent="0.3">
      <c r="A26" s="13" t="s">
        <v>96</v>
      </c>
      <c r="B26" s="14" t="s">
        <v>112</v>
      </c>
      <c r="C26" s="13" t="s">
        <v>113</v>
      </c>
      <c r="D26" s="13" t="s">
        <v>114</v>
      </c>
      <c r="E26" s="14" t="s">
        <v>47</v>
      </c>
      <c r="F26" s="14">
        <f>VLOOKUP(E26,Reference!$A$2:$B$4,2,FALSE())</f>
        <v>2</v>
      </c>
      <c r="G26" s="12">
        <v>0</v>
      </c>
      <c r="H26" s="14">
        <f t="shared" si="0"/>
        <v>0</v>
      </c>
      <c r="I26" s="14">
        <f t="shared" si="1"/>
        <v>6</v>
      </c>
      <c r="J26" s="13"/>
      <c r="K26" s="13"/>
    </row>
    <row r="27" spans="1:11" x14ac:dyDescent="0.3">
      <c r="A27" s="13" t="s">
        <v>96</v>
      </c>
      <c r="B27" s="14" t="s">
        <v>115</v>
      </c>
      <c r="C27" s="13" t="s">
        <v>116</v>
      </c>
      <c r="D27" s="13" t="s">
        <v>117</v>
      </c>
      <c r="E27" s="14" t="s">
        <v>47</v>
      </c>
      <c r="F27" s="14">
        <f>VLOOKUP(E27,Reference!$A$2:$B$4,2,FALSE())</f>
        <v>2</v>
      </c>
      <c r="G27" s="12">
        <v>0</v>
      </c>
      <c r="H27" s="14">
        <f t="shared" si="0"/>
        <v>0</v>
      </c>
      <c r="I27" s="14">
        <f t="shared" si="1"/>
        <v>6</v>
      </c>
      <c r="J27" s="13"/>
      <c r="K27" s="13"/>
    </row>
    <row r="28" spans="1:11" ht="27.6" x14ac:dyDescent="0.3">
      <c r="A28" s="10" t="s">
        <v>118</v>
      </c>
      <c r="B28" s="11" t="s">
        <v>119</v>
      </c>
      <c r="C28" s="10" t="s">
        <v>120</v>
      </c>
      <c r="D28" s="10" t="s">
        <v>121</v>
      </c>
      <c r="E28" s="11" t="s">
        <v>37</v>
      </c>
      <c r="F28" s="11">
        <f>VLOOKUP(E28,Reference!$A$2:$B$4,2,FALSE())</f>
        <v>3</v>
      </c>
      <c r="G28" s="12">
        <v>0</v>
      </c>
      <c r="H28" s="11">
        <f t="shared" si="0"/>
        <v>0</v>
      </c>
      <c r="I28" s="11">
        <f t="shared" si="1"/>
        <v>9</v>
      </c>
      <c r="J28" s="10"/>
      <c r="K28" s="10"/>
    </row>
    <row r="29" spans="1:11" ht="27.6" x14ac:dyDescent="0.3">
      <c r="A29" s="10" t="s">
        <v>118</v>
      </c>
      <c r="B29" s="11" t="s">
        <v>122</v>
      </c>
      <c r="C29" s="10" t="s">
        <v>123</v>
      </c>
      <c r="D29" s="10" t="s">
        <v>124</v>
      </c>
      <c r="E29" s="11" t="s">
        <v>37</v>
      </c>
      <c r="F29" s="11">
        <f>VLOOKUP(E29,Reference!$A$2:$B$4,2,FALSE())</f>
        <v>3</v>
      </c>
      <c r="G29" s="12">
        <v>0</v>
      </c>
      <c r="H29" s="11">
        <f t="shared" si="0"/>
        <v>0</v>
      </c>
      <c r="I29" s="11">
        <f t="shared" si="1"/>
        <v>9</v>
      </c>
      <c r="J29" s="10"/>
      <c r="K29" s="10"/>
    </row>
    <row r="30" spans="1:11" x14ac:dyDescent="0.3">
      <c r="A30" s="10" t="s">
        <v>118</v>
      </c>
      <c r="B30" s="11" t="s">
        <v>125</v>
      </c>
      <c r="C30" s="10" t="s">
        <v>126</v>
      </c>
      <c r="D30" s="10" t="s">
        <v>127</v>
      </c>
      <c r="E30" s="11" t="s">
        <v>47</v>
      </c>
      <c r="F30" s="11">
        <f>VLOOKUP(E30,Reference!$A$2:$B$4,2,FALSE())</f>
        <v>2</v>
      </c>
      <c r="G30" s="12">
        <v>0</v>
      </c>
      <c r="H30" s="11">
        <f t="shared" si="0"/>
        <v>0</v>
      </c>
      <c r="I30" s="11">
        <f t="shared" si="1"/>
        <v>6</v>
      </c>
      <c r="J30" s="10"/>
      <c r="K30" s="10"/>
    </row>
    <row r="31" spans="1:11" x14ac:dyDescent="0.3">
      <c r="A31" s="10" t="s">
        <v>118</v>
      </c>
      <c r="B31" s="11" t="s">
        <v>128</v>
      </c>
      <c r="C31" s="10" t="s">
        <v>129</v>
      </c>
      <c r="D31" s="10" t="s">
        <v>130</v>
      </c>
      <c r="E31" s="11" t="s">
        <v>47</v>
      </c>
      <c r="F31" s="11">
        <f>VLOOKUP(E31,Reference!$A$2:$B$4,2,FALSE())</f>
        <v>2</v>
      </c>
      <c r="G31" s="12">
        <v>0</v>
      </c>
      <c r="H31" s="11">
        <f t="shared" si="0"/>
        <v>0</v>
      </c>
      <c r="I31" s="11">
        <f t="shared" si="1"/>
        <v>6</v>
      </c>
      <c r="J31" s="10"/>
      <c r="K31" s="10"/>
    </row>
    <row r="32" spans="1:11" ht="27.6" x14ac:dyDescent="0.3">
      <c r="A32" s="10" t="s">
        <v>118</v>
      </c>
      <c r="B32" s="11" t="s">
        <v>131</v>
      </c>
      <c r="C32" s="10" t="s">
        <v>132</v>
      </c>
      <c r="D32" s="10" t="s">
        <v>133</v>
      </c>
      <c r="E32" s="11" t="s">
        <v>60</v>
      </c>
      <c r="F32" s="11">
        <f>VLOOKUP(E32,Reference!$A$2:$B$4,2,FALSE())</f>
        <v>1</v>
      </c>
      <c r="G32" s="12">
        <v>0</v>
      </c>
      <c r="H32" s="11">
        <f t="shared" si="0"/>
        <v>0</v>
      </c>
      <c r="I32" s="11">
        <f t="shared" si="1"/>
        <v>3</v>
      </c>
      <c r="J32" s="10"/>
      <c r="K32" s="10"/>
    </row>
    <row r="33" spans="1:11" x14ac:dyDescent="0.3">
      <c r="A33" s="10" t="s">
        <v>118</v>
      </c>
      <c r="B33" s="11" t="s">
        <v>134</v>
      </c>
      <c r="C33" s="10" t="s">
        <v>135</v>
      </c>
      <c r="D33" s="10" t="s">
        <v>136</v>
      </c>
      <c r="E33" s="11" t="s">
        <v>47</v>
      </c>
      <c r="F33" s="11">
        <f>VLOOKUP(E33,Reference!$A$2:$B$4,2,FALSE())</f>
        <v>2</v>
      </c>
      <c r="G33" s="12">
        <v>0</v>
      </c>
      <c r="H33" s="11">
        <f t="shared" si="0"/>
        <v>0</v>
      </c>
      <c r="I33" s="11">
        <f t="shared" si="1"/>
        <v>6</v>
      </c>
      <c r="J33" s="10"/>
      <c r="K33" s="10"/>
    </row>
    <row r="34" spans="1:11" x14ac:dyDescent="0.3">
      <c r="A34" s="10" t="s">
        <v>118</v>
      </c>
      <c r="B34" s="11" t="s">
        <v>137</v>
      </c>
      <c r="C34" s="10" t="s">
        <v>138</v>
      </c>
      <c r="D34" s="10" t="s">
        <v>139</v>
      </c>
      <c r="E34" s="11" t="s">
        <v>60</v>
      </c>
      <c r="F34" s="11">
        <f>VLOOKUP(E34,Reference!$A$2:$B$4,2,FALSE())</f>
        <v>1</v>
      </c>
      <c r="G34" s="12">
        <v>0</v>
      </c>
      <c r="H34" s="11">
        <f t="shared" ref="H34:H65" si="2">IF(G34="N/A","",F34*G34)</f>
        <v>0</v>
      </c>
      <c r="I34" s="11">
        <f t="shared" ref="I34:I52" si="3">IF(G34="N/A","",F34*3)</f>
        <v>3</v>
      </c>
      <c r="J34" s="10"/>
      <c r="K34" s="10"/>
    </row>
    <row r="35" spans="1:11" x14ac:dyDescent="0.3">
      <c r="A35" s="13" t="s">
        <v>140</v>
      </c>
      <c r="B35" s="14" t="s">
        <v>141</v>
      </c>
      <c r="C35" s="13" t="s">
        <v>142</v>
      </c>
      <c r="D35" s="13" t="s">
        <v>143</v>
      </c>
      <c r="E35" s="14" t="s">
        <v>47</v>
      </c>
      <c r="F35" s="14">
        <f>VLOOKUP(E35,Reference!$A$2:$B$4,2,FALSE())</f>
        <v>2</v>
      </c>
      <c r="G35" s="12">
        <v>0</v>
      </c>
      <c r="H35" s="14">
        <f t="shared" si="2"/>
        <v>0</v>
      </c>
      <c r="I35" s="14">
        <f t="shared" si="3"/>
        <v>6</v>
      </c>
      <c r="J35" s="13"/>
      <c r="K35" s="13"/>
    </row>
    <row r="36" spans="1:11" x14ac:dyDescent="0.3">
      <c r="A36" s="13" t="s">
        <v>140</v>
      </c>
      <c r="B36" s="14" t="s">
        <v>144</v>
      </c>
      <c r="C36" s="13" t="s">
        <v>145</v>
      </c>
      <c r="D36" s="13" t="s">
        <v>146</v>
      </c>
      <c r="E36" s="14" t="s">
        <v>60</v>
      </c>
      <c r="F36" s="14">
        <f>VLOOKUP(E36,Reference!$A$2:$B$4,2,FALSE())</f>
        <v>1</v>
      </c>
      <c r="G36" s="12">
        <v>0</v>
      </c>
      <c r="H36" s="14">
        <f t="shared" si="2"/>
        <v>0</v>
      </c>
      <c r="I36" s="14">
        <f t="shared" si="3"/>
        <v>3</v>
      </c>
      <c r="J36" s="13"/>
      <c r="K36" s="13"/>
    </row>
    <row r="37" spans="1:11" ht="27.6" x14ac:dyDescent="0.3">
      <c r="A37" s="13" t="s">
        <v>140</v>
      </c>
      <c r="B37" s="14" t="s">
        <v>147</v>
      </c>
      <c r="C37" s="13" t="s">
        <v>148</v>
      </c>
      <c r="D37" s="13" t="s">
        <v>149</v>
      </c>
      <c r="E37" s="14" t="s">
        <v>47</v>
      </c>
      <c r="F37" s="14">
        <f>VLOOKUP(E37,Reference!$A$2:$B$4,2,FALSE())</f>
        <v>2</v>
      </c>
      <c r="G37" s="12">
        <v>0</v>
      </c>
      <c r="H37" s="14">
        <f t="shared" si="2"/>
        <v>0</v>
      </c>
      <c r="I37" s="14">
        <f t="shared" si="3"/>
        <v>6</v>
      </c>
      <c r="J37" s="13"/>
      <c r="K37" s="13"/>
    </row>
    <row r="38" spans="1:11" x14ac:dyDescent="0.3">
      <c r="A38" s="13" t="s">
        <v>140</v>
      </c>
      <c r="B38" s="14" t="s">
        <v>150</v>
      </c>
      <c r="C38" s="13" t="s">
        <v>151</v>
      </c>
      <c r="D38" s="13" t="s">
        <v>152</v>
      </c>
      <c r="E38" s="14" t="s">
        <v>47</v>
      </c>
      <c r="F38" s="14">
        <f>VLOOKUP(E38,Reference!$A$2:$B$4,2,FALSE())</f>
        <v>2</v>
      </c>
      <c r="G38" s="12">
        <v>0</v>
      </c>
      <c r="H38" s="14">
        <f t="shared" si="2"/>
        <v>0</v>
      </c>
      <c r="I38" s="14">
        <f t="shared" si="3"/>
        <v>6</v>
      </c>
      <c r="J38" s="13"/>
      <c r="K38" s="13"/>
    </row>
    <row r="39" spans="1:11" x14ac:dyDescent="0.3">
      <c r="A39" s="13" t="s">
        <v>140</v>
      </c>
      <c r="B39" s="14" t="s">
        <v>153</v>
      </c>
      <c r="C39" s="13" t="s">
        <v>154</v>
      </c>
      <c r="D39" s="13" t="s">
        <v>155</v>
      </c>
      <c r="E39" s="14" t="s">
        <v>60</v>
      </c>
      <c r="F39" s="14">
        <f>VLOOKUP(E39,Reference!$A$2:$B$4,2,FALSE())</f>
        <v>1</v>
      </c>
      <c r="G39" s="12">
        <v>0</v>
      </c>
      <c r="H39" s="14">
        <f t="shared" si="2"/>
        <v>0</v>
      </c>
      <c r="I39" s="14">
        <f t="shared" si="3"/>
        <v>3</v>
      </c>
      <c r="J39" s="13"/>
      <c r="K39" s="13"/>
    </row>
    <row r="40" spans="1:11" ht="27.6" x14ac:dyDescent="0.3">
      <c r="A40" s="10" t="s">
        <v>156</v>
      </c>
      <c r="B40" s="11" t="s">
        <v>157</v>
      </c>
      <c r="C40" s="10" t="s">
        <v>158</v>
      </c>
      <c r="D40" s="10" t="s">
        <v>159</v>
      </c>
      <c r="E40" s="11" t="s">
        <v>37</v>
      </c>
      <c r="F40" s="11">
        <f>VLOOKUP(E40,Reference!$A$2:$B$4,2,FALSE())</f>
        <v>3</v>
      </c>
      <c r="G40" s="12">
        <v>0</v>
      </c>
      <c r="H40" s="11">
        <f t="shared" si="2"/>
        <v>0</v>
      </c>
      <c r="I40" s="11">
        <f t="shared" si="3"/>
        <v>9</v>
      </c>
      <c r="J40" s="10"/>
      <c r="K40" s="10"/>
    </row>
    <row r="41" spans="1:11" x14ac:dyDescent="0.3">
      <c r="A41" s="10" t="s">
        <v>156</v>
      </c>
      <c r="B41" s="11" t="s">
        <v>160</v>
      </c>
      <c r="C41" s="10" t="s">
        <v>161</v>
      </c>
      <c r="D41" s="10" t="s">
        <v>162</v>
      </c>
      <c r="E41" s="11" t="s">
        <v>47</v>
      </c>
      <c r="F41" s="11">
        <f>VLOOKUP(E41,Reference!$A$2:$B$4,2,FALSE())</f>
        <v>2</v>
      </c>
      <c r="G41" s="12">
        <v>0</v>
      </c>
      <c r="H41" s="11">
        <f t="shared" si="2"/>
        <v>0</v>
      </c>
      <c r="I41" s="11">
        <f t="shared" si="3"/>
        <v>6</v>
      </c>
      <c r="J41" s="10"/>
      <c r="K41" s="10"/>
    </row>
    <row r="42" spans="1:11" x14ac:dyDescent="0.3">
      <c r="A42" s="10" t="s">
        <v>156</v>
      </c>
      <c r="B42" s="11" t="s">
        <v>163</v>
      </c>
      <c r="C42" s="10" t="s">
        <v>164</v>
      </c>
      <c r="D42" s="10" t="s">
        <v>165</v>
      </c>
      <c r="E42" s="11" t="s">
        <v>47</v>
      </c>
      <c r="F42" s="11">
        <f>VLOOKUP(E42,Reference!$A$2:$B$4,2,FALSE())</f>
        <v>2</v>
      </c>
      <c r="G42" s="12">
        <v>0</v>
      </c>
      <c r="H42" s="11">
        <f t="shared" si="2"/>
        <v>0</v>
      </c>
      <c r="I42" s="11">
        <f t="shared" si="3"/>
        <v>6</v>
      </c>
      <c r="J42" s="10"/>
      <c r="K42" s="10"/>
    </row>
    <row r="43" spans="1:11" x14ac:dyDescent="0.3">
      <c r="A43" s="10" t="s">
        <v>156</v>
      </c>
      <c r="B43" s="11" t="s">
        <v>166</v>
      </c>
      <c r="C43" s="10" t="s">
        <v>167</v>
      </c>
      <c r="D43" s="10" t="s">
        <v>168</v>
      </c>
      <c r="E43" s="11" t="s">
        <v>60</v>
      </c>
      <c r="F43" s="11">
        <f>VLOOKUP(E43,Reference!$A$2:$B$4,2,FALSE())</f>
        <v>1</v>
      </c>
      <c r="G43" s="12">
        <v>0</v>
      </c>
      <c r="H43" s="11">
        <f t="shared" si="2"/>
        <v>0</v>
      </c>
      <c r="I43" s="11">
        <f t="shared" si="3"/>
        <v>3</v>
      </c>
      <c r="J43" s="10"/>
      <c r="K43" s="10"/>
    </row>
    <row r="44" spans="1:11" x14ac:dyDescent="0.3">
      <c r="A44" s="10" t="s">
        <v>156</v>
      </c>
      <c r="B44" s="11" t="s">
        <v>169</v>
      </c>
      <c r="C44" s="10" t="s">
        <v>170</v>
      </c>
      <c r="D44" s="10" t="s">
        <v>171</v>
      </c>
      <c r="E44" s="11" t="s">
        <v>60</v>
      </c>
      <c r="F44" s="11">
        <f>VLOOKUP(E44,Reference!$A$2:$B$4,2,FALSE())</f>
        <v>1</v>
      </c>
      <c r="G44" s="12">
        <v>0</v>
      </c>
      <c r="H44" s="11">
        <f t="shared" si="2"/>
        <v>0</v>
      </c>
      <c r="I44" s="11">
        <f t="shared" si="3"/>
        <v>3</v>
      </c>
      <c r="J44" s="10"/>
      <c r="K44" s="10"/>
    </row>
    <row r="45" spans="1:11" x14ac:dyDescent="0.3">
      <c r="A45" s="13" t="s">
        <v>172</v>
      </c>
      <c r="B45" s="14" t="s">
        <v>173</v>
      </c>
      <c r="C45" s="13" t="s">
        <v>174</v>
      </c>
      <c r="D45" s="13" t="s">
        <v>175</v>
      </c>
      <c r="E45" s="14" t="s">
        <v>47</v>
      </c>
      <c r="F45" s="14">
        <f>VLOOKUP(E45,Reference!$A$2:$B$4,2,FALSE())</f>
        <v>2</v>
      </c>
      <c r="G45" s="12">
        <v>0</v>
      </c>
      <c r="H45" s="14">
        <f t="shared" si="2"/>
        <v>0</v>
      </c>
      <c r="I45" s="14">
        <f t="shared" si="3"/>
        <v>6</v>
      </c>
      <c r="J45" s="13"/>
      <c r="K45" s="13"/>
    </row>
    <row r="46" spans="1:11" x14ac:dyDescent="0.3">
      <c r="A46" s="13" t="s">
        <v>172</v>
      </c>
      <c r="B46" s="14" t="s">
        <v>176</v>
      </c>
      <c r="C46" s="13" t="s">
        <v>177</v>
      </c>
      <c r="D46" s="13" t="s">
        <v>178</v>
      </c>
      <c r="E46" s="14" t="s">
        <v>47</v>
      </c>
      <c r="F46" s="14">
        <f>VLOOKUP(E46,Reference!$A$2:$B$4,2,FALSE())</f>
        <v>2</v>
      </c>
      <c r="G46" s="12">
        <v>0</v>
      </c>
      <c r="H46" s="14">
        <f t="shared" si="2"/>
        <v>0</v>
      </c>
      <c r="I46" s="14">
        <f t="shared" si="3"/>
        <v>6</v>
      </c>
      <c r="J46" s="13"/>
      <c r="K46" s="13"/>
    </row>
    <row r="47" spans="1:11" x14ac:dyDescent="0.3">
      <c r="A47" s="13" t="s">
        <v>172</v>
      </c>
      <c r="B47" s="14" t="s">
        <v>179</v>
      </c>
      <c r="C47" s="13" t="s">
        <v>180</v>
      </c>
      <c r="D47" s="13" t="s">
        <v>181</v>
      </c>
      <c r="E47" s="14" t="s">
        <v>60</v>
      </c>
      <c r="F47" s="14">
        <f>VLOOKUP(E47,Reference!$A$2:$B$4,2,FALSE())</f>
        <v>1</v>
      </c>
      <c r="G47" s="12">
        <v>0</v>
      </c>
      <c r="H47" s="14">
        <f t="shared" si="2"/>
        <v>0</v>
      </c>
      <c r="I47" s="14">
        <f t="shared" si="3"/>
        <v>3</v>
      </c>
      <c r="J47" s="13"/>
      <c r="K47" s="13"/>
    </row>
    <row r="48" spans="1:11" ht="27.6" x14ac:dyDescent="0.3">
      <c r="A48" s="13" t="s">
        <v>172</v>
      </c>
      <c r="B48" s="14" t="s">
        <v>182</v>
      </c>
      <c r="C48" s="13" t="s">
        <v>183</v>
      </c>
      <c r="D48" s="13" t="s">
        <v>184</v>
      </c>
      <c r="E48" s="14" t="s">
        <v>47</v>
      </c>
      <c r="F48" s="14">
        <f>VLOOKUP(E48,Reference!$A$2:$B$4,2,FALSE())</f>
        <v>2</v>
      </c>
      <c r="G48" s="12">
        <v>0</v>
      </c>
      <c r="H48" s="14">
        <f t="shared" si="2"/>
        <v>0</v>
      </c>
      <c r="I48" s="14">
        <f t="shared" si="3"/>
        <v>6</v>
      </c>
      <c r="J48" s="13"/>
      <c r="K48" s="13"/>
    </row>
    <row r="49" spans="1:11" x14ac:dyDescent="0.3">
      <c r="A49" s="13" t="s">
        <v>172</v>
      </c>
      <c r="B49" s="14" t="s">
        <v>185</v>
      </c>
      <c r="C49" s="13" t="s">
        <v>186</v>
      </c>
      <c r="D49" s="13" t="s">
        <v>187</v>
      </c>
      <c r="E49" s="14" t="s">
        <v>60</v>
      </c>
      <c r="F49" s="14">
        <f>VLOOKUP(E49,Reference!$A$2:$B$4,2,FALSE())</f>
        <v>1</v>
      </c>
      <c r="G49" s="12">
        <v>0</v>
      </c>
      <c r="H49" s="14">
        <f t="shared" si="2"/>
        <v>0</v>
      </c>
      <c r="I49" s="14">
        <f t="shared" si="3"/>
        <v>3</v>
      </c>
      <c r="J49" s="13"/>
      <c r="K49" s="13"/>
    </row>
    <row r="50" spans="1:11" x14ac:dyDescent="0.3">
      <c r="A50" s="10" t="s">
        <v>188</v>
      </c>
      <c r="B50" s="11" t="s">
        <v>189</v>
      </c>
      <c r="C50" s="10" t="s">
        <v>190</v>
      </c>
      <c r="D50" s="10" t="s">
        <v>191</v>
      </c>
      <c r="E50" s="11" t="s">
        <v>60</v>
      </c>
      <c r="F50" s="11">
        <f>VLOOKUP(E50,Reference!$A$2:$B$4,2,FALSE())</f>
        <v>1</v>
      </c>
      <c r="G50" s="12">
        <v>0</v>
      </c>
      <c r="H50" s="11">
        <f t="shared" si="2"/>
        <v>0</v>
      </c>
      <c r="I50" s="11">
        <f t="shared" si="3"/>
        <v>3</v>
      </c>
      <c r="J50" s="10"/>
      <c r="K50" s="10"/>
    </row>
    <row r="51" spans="1:11" x14ac:dyDescent="0.3">
      <c r="A51" s="10" t="s">
        <v>188</v>
      </c>
      <c r="B51" s="11" t="s">
        <v>192</v>
      </c>
      <c r="C51" s="10" t="s">
        <v>193</v>
      </c>
      <c r="D51" s="10" t="s">
        <v>194</v>
      </c>
      <c r="E51" s="11" t="s">
        <v>60</v>
      </c>
      <c r="F51" s="11">
        <f>VLOOKUP(E51,Reference!$A$2:$B$4,2,FALSE())</f>
        <v>1</v>
      </c>
      <c r="G51" s="12">
        <v>0</v>
      </c>
      <c r="H51" s="11">
        <f t="shared" si="2"/>
        <v>0</v>
      </c>
      <c r="I51" s="11">
        <f t="shared" si="3"/>
        <v>3</v>
      </c>
      <c r="J51" s="10"/>
      <c r="K51" s="10"/>
    </row>
    <row r="52" spans="1:11" x14ac:dyDescent="0.3">
      <c r="A52" s="10" t="s">
        <v>188</v>
      </c>
      <c r="B52" s="11" t="s">
        <v>195</v>
      </c>
      <c r="C52" s="10" t="s">
        <v>196</v>
      </c>
      <c r="D52" s="10" t="s">
        <v>197</v>
      </c>
      <c r="E52" s="11" t="s">
        <v>60</v>
      </c>
      <c r="F52" s="11">
        <f>VLOOKUP(E52,Reference!$A$2:$B$4,2,FALSE())</f>
        <v>1</v>
      </c>
      <c r="G52" s="12">
        <v>0</v>
      </c>
      <c r="H52" s="11">
        <f t="shared" si="2"/>
        <v>0</v>
      </c>
      <c r="I52" s="11">
        <f t="shared" si="3"/>
        <v>3</v>
      </c>
      <c r="J52" s="10"/>
      <c r="K52" s="10"/>
    </row>
  </sheetData>
  <dataValidations count="2">
    <dataValidation type="list" sqref="E2:E52" xr:uid="{00000000-0002-0000-0100-000000000000}">
      <formula1>"Critical,High,Medium"</formula1>
      <formula2>0</formula2>
    </dataValidation>
    <dataValidation type="list" sqref="G2:G52" xr:uid="{00000000-0002-0000-0100-000001000000}">
      <formula1>"0,1,2,3,N/A"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6" customWidth="1"/>
    <col min="3" max="4" width="12" customWidth="1"/>
  </cols>
  <sheetData>
    <row r="1" spans="1:3" ht="23.4" x14ac:dyDescent="0.45">
      <c r="A1" s="15" t="s">
        <v>0</v>
      </c>
    </row>
    <row r="2" spans="1:3" x14ac:dyDescent="0.3">
      <c r="A2" s="4" t="s">
        <v>198</v>
      </c>
    </row>
    <row r="3" spans="1:3" x14ac:dyDescent="0.3">
      <c r="A3" s="5" t="s">
        <v>199</v>
      </c>
    </row>
    <row r="4" spans="1:3" x14ac:dyDescent="0.3">
      <c r="A4" s="1" t="s">
        <v>200</v>
      </c>
      <c r="B4" s="1"/>
    </row>
    <row r="5" spans="1:3" ht="25.8" x14ac:dyDescent="0.3">
      <c r="A5" s="16" t="s">
        <v>29</v>
      </c>
      <c r="B5" s="17">
        <f>IF(SUM(Scorecard!I2:I52)=0,"N/A",SUM(Scorecard!H2:H52)/SUM(Scorecard!I2:I52))</f>
        <v>0</v>
      </c>
    </row>
    <row r="6" spans="1:3" ht="18" x14ac:dyDescent="0.3">
      <c r="A6" s="16" t="s">
        <v>201</v>
      </c>
      <c r="B6" s="18" t="str">
        <f>IF(B5="N/A","N/A",VLOOKUP(B5,Reference!$A$7:$B$11,2,TRUE()))</f>
        <v>At Risk</v>
      </c>
    </row>
    <row r="9" spans="1:3" x14ac:dyDescent="0.3">
      <c r="A9" s="19" t="s">
        <v>22</v>
      </c>
      <c r="B9" s="19" t="s">
        <v>29</v>
      </c>
      <c r="C9" s="19" t="s">
        <v>202</v>
      </c>
    </row>
    <row r="10" spans="1:3" x14ac:dyDescent="0.3">
      <c r="A10" s="20" t="s">
        <v>33</v>
      </c>
      <c r="B10" s="21">
        <f>IF(SUMIF(Scorecard!$A$2:$A$52,A10,Scorecard!$I$2:$I$52)=0,"N/A",SUMIF(Scorecard!$A$2:$A$52,A10,Scorecard!$H$2:$H$52)/SUMIF(Scorecard!$A$2:$A$52,A10,Scorecard!$I$2:$I$52))</f>
        <v>0</v>
      </c>
      <c r="C10" s="22">
        <f>COUNTIF(Scorecard!$A$2:$A$52,A10)</f>
        <v>8</v>
      </c>
    </row>
    <row r="11" spans="1:3" x14ac:dyDescent="0.3">
      <c r="A11" s="20" t="s">
        <v>61</v>
      </c>
      <c r="B11" s="21">
        <f>IF(SUMIF(Scorecard!$A$2:$A$52,A11,Scorecard!$I$2:$I$52)=0,"N/A",SUMIF(Scorecard!$A$2:$A$52,A11,Scorecard!$H$2:$H$52)/SUMIF(Scorecard!$A$2:$A$52,A11,Scorecard!$I$2:$I$52))</f>
        <v>0</v>
      </c>
      <c r="C11" s="22">
        <f>COUNTIF(Scorecard!$A$2:$A$52,A11)</f>
        <v>6</v>
      </c>
    </row>
    <row r="12" spans="1:3" x14ac:dyDescent="0.3">
      <c r="A12" s="20" t="s">
        <v>80</v>
      </c>
      <c r="B12" s="21">
        <f>IF(SUMIF(Scorecard!$A$2:$A$52,A12,Scorecard!$I$2:$I$52)=0,"N/A",SUMIF(Scorecard!$A$2:$A$52,A12,Scorecard!$H$2:$H$52)/SUMIF(Scorecard!$A$2:$A$52,A12,Scorecard!$I$2:$I$52))</f>
        <v>0</v>
      </c>
      <c r="C12" s="22">
        <f>COUNTIF(Scorecard!$A$2:$A$52,A12)</f>
        <v>5</v>
      </c>
    </row>
    <row r="13" spans="1:3" x14ac:dyDescent="0.3">
      <c r="A13" s="20" t="s">
        <v>96</v>
      </c>
      <c r="B13" s="21">
        <f>IF(SUMIF(Scorecard!$A$2:$A$52,A13,Scorecard!$I$2:$I$52)=0,"N/A",SUMIF(Scorecard!$A$2:$A$52,A13,Scorecard!$H$2:$H$52)/SUMIF(Scorecard!$A$2:$A$52,A13,Scorecard!$I$2:$I$52))</f>
        <v>0</v>
      </c>
      <c r="C13" s="22">
        <f>COUNTIF(Scorecard!$A$2:$A$52,A13)</f>
        <v>7</v>
      </c>
    </row>
    <row r="14" spans="1:3" x14ac:dyDescent="0.3">
      <c r="A14" s="20" t="s">
        <v>118</v>
      </c>
      <c r="B14" s="21">
        <f>IF(SUMIF(Scorecard!$A$2:$A$52,A14,Scorecard!$I$2:$I$52)=0,"N/A",SUMIF(Scorecard!$A$2:$A$52,A14,Scorecard!$H$2:$H$52)/SUMIF(Scorecard!$A$2:$A$52,A14,Scorecard!$I$2:$I$52))</f>
        <v>0</v>
      </c>
      <c r="C14" s="22">
        <f>COUNTIF(Scorecard!$A$2:$A$52,A14)</f>
        <v>7</v>
      </c>
    </row>
    <row r="15" spans="1:3" x14ac:dyDescent="0.3">
      <c r="A15" s="20" t="s">
        <v>140</v>
      </c>
      <c r="B15" s="21">
        <f>IF(SUMIF(Scorecard!$A$2:$A$52,A15,Scorecard!$I$2:$I$52)=0,"N/A",SUMIF(Scorecard!$A$2:$A$52,A15,Scorecard!$H$2:$H$52)/SUMIF(Scorecard!$A$2:$A$52,A15,Scorecard!$I$2:$I$52))</f>
        <v>0</v>
      </c>
      <c r="C15" s="22">
        <f>COUNTIF(Scorecard!$A$2:$A$52,A15)</f>
        <v>5</v>
      </c>
    </row>
    <row r="16" spans="1:3" x14ac:dyDescent="0.3">
      <c r="A16" s="20" t="s">
        <v>156</v>
      </c>
      <c r="B16" s="21">
        <f>IF(SUMIF(Scorecard!$A$2:$A$52,A16,Scorecard!$I$2:$I$52)=0,"N/A",SUMIF(Scorecard!$A$2:$A$52,A16,Scorecard!$H$2:$H$52)/SUMIF(Scorecard!$A$2:$A$52,A16,Scorecard!$I$2:$I$52))</f>
        <v>0</v>
      </c>
      <c r="C16" s="22">
        <f>COUNTIF(Scorecard!$A$2:$A$52,A16)</f>
        <v>5</v>
      </c>
    </row>
    <row r="17" spans="1:3" x14ac:dyDescent="0.3">
      <c r="A17" s="20" t="s">
        <v>172</v>
      </c>
      <c r="B17" s="21">
        <f>IF(SUMIF(Scorecard!$A$2:$A$52,A17,Scorecard!$I$2:$I$52)=0,"N/A",SUMIF(Scorecard!$A$2:$A$52,A17,Scorecard!$H$2:$H$52)/SUMIF(Scorecard!$A$2:$A$52,A17,Scorecard!$I$2:$I$52))</f>
        <v>0</v>
      </c>
      <c r="C17" s="22">
        <f>COUNTIF(Scorecard!$A$2:$A$52,A17)</f>
        <v>5</v>
      </c>
    </row>
    <row r="18" spans="1:3" x14ac:dyDescent="0.3">
      <c r="A18" s="20" t="s">
        <v>188</v>
      </c>
      <c r="B18" s="21">
        <f>IF(SUMIF(Scorecard!$A$2:$A$52,A18,Scorecard!$I$2:$I$52)=0,"N/A",SUMIF(Scorecard!$A$2:$A$52,A18,Scorecard!$H$2:$H$52)/SUMIF(Scorecard!$A$2:$A$52,A18,Scorecard!$I$2:$I$52))</f>
        <v>0</v>
      </c>
      <c r="C18" s="22">
        <f>COUNTIF(Scorecard!$A$2:$A$52,A18)</f>
        <v>3</v>
      </c>
    </row>
    <row r="20" spans="1:3" x14ac:dyDescent="0.3">
      <c r="A20" s="23" t="s">
        <v>203</v>
      </c>
    </row>
    <row r="21" spans="1:3" x14ac:dyDescent="0.3">
      <c r="A21" s="24" t="s">
        <v>204</v>
      </c>
      <c r="B21" s="25" t="s">
        <v>205</v>
      </c>
    </row>
    <row r="22" spans="1:3" x14ac:dyDescent="0.3">
      <c r="A22" s="24" t="s">
        <v>206</v>
      </c>
      <c r="B22" s="25" t="s">
        <v>207</v>
      </c>
    </row>
    <row r="23" spans="1:3" x14ac:dyDescent="0.3">
      <c r="A23" s="24" t="s">
        <v>208</v>
      </c>
      <c r="B23" s="25" t="s">
        <v>209</v>
      </c>
    </row>
    <row r="24" spans="1:3" x14ac:dyDescent="0.3">
      <c r="A24" s="24" t="s">
        <v>210</v>
      </c>
      <c r="B24" s="25" t="s">
        <v>211</v>
      </c>
    </row>
    <row r="25" spans="1:3" x14ac:dyDescent="0.3">
      <c r="A25" s="24" t="s">
        <v>212</v>
      </c>
      <c r="B25" s="25" t="s">
        <v>213</v>
      </c>
    </row>
  </sheetData>
  <mergeCells count="1">
    <mergeCell ref="A4:B4"/>
  </mergeCells>
  <conditionalFormatting sqref="B10:B18">
    <cfRule type="dataBar" priority="2">
      <dataBar>
        <cfvo type="num" val="0"/>
        <cfvo type="num" val="1"/>
        <color rgb="FF2E5E4E"/>
      </dataBar>
      <extLst>
        <ext xmlns:x14="http://schemas.microsoft.com/office/spreadsheetml/2009/9/main" uri="{B025F937-C7B1-47D3-B67F-A62EFF666E3E}">
          <x14:id>{FEC611EA-5C86-4B63-835A-7EE773749034}</x14:id>
        </ext>
      </extLst>
    </cfRule>
  </conditionalFormatting>
  <hyperlinks>
    <hyperlink ref="A3" r:id="rId1" xr:uid="{00000000-0004-0000-0200-000000000000}"/>
  </hyperlinks>
  <pageMargins left="0.75" right="0.75" top="1" bottom="1" header="0.511811023622047" footer="0.511811023622047"/>
  <pageSetup paperSize="9" orientation="portrait" horizontalDpi="300" verticalDpi="30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C611EA-5C86-4B63-835A-7EE773749034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2E5E4E"/>
            </x14:dataBar>
          </x14:cfRule>
          <xm:sqref>B10:B18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zoomScaleNormal="100" workbookViewId="0"/>
  </sheetViews>
  <sheetFormatPr defaultColWidth="8.6640625" defaultRowHeight="14.4" x14ac:dyDescent="0.3"/>
  <sheetData>
    <row r="1" spans="1:2" x14ac:dyDescent="0.3">
      <c r="A1" t="s">
        <v>26</v>
      </c>
      <c r="B1" t="s">
        <v>27</v>
      </c>
    </row>
    <row r="2" spans="1:2" x14ac:dyDescent="0.3">
      <c r="A2" t="s">
        <v>37</v>
      </c>
      <c r="B2">
        <v>3</v>
      </c>
    </row>
    <row r="3" spans="1:2" x14ac:dyDescent="0.3">
      <c r="A3" t="s">
        <v>47</v>
      </c>
      <c r="B3">
        <v>2</v>
      </c>
    </row>
    <row r="4" spans="1:2" x14ac:dyDescent="0.3">
      <c r="A4" t="s">
        <v>60</v>
      </c>
      <c r="B4">
        <v>1</v>
      </c>
    </row>
    <row r="6" spans="1:2" x14ac:dyDescent="0.3">
      <c r="A6" t="s">
        <v>214</v>
      </c>
      <c r="B6" t="s">
        <v>215</v>
      </c>
    </row>
    <row r="7" spans="1:2" x14ac:dyDescent="0.3">
      <c r="A7">
        <v>0</v>
      </c>
      <c r="B7" t="s">
        <v>204</v>
      </c>
    </row>
    <row r="8" spans="1:2" x14ac:dyDescent="0.3">
      <c r="A8">
        <v>0.26</v>
      </c>
      <c r="B8" t="s">
        <v>206</v>
      </c>
    </row>
    <row r="9" spans="1:2" x14ac:dyDescent="0.3">
      <c r="A9">
        <v>0.51</v>
      </c>
      <c r="B9" t="s">
        <v>208</v>
      </c>
    </row>
    <row r="10" spans="1:2" x14ac:dyDescent="0.3">
      <c r="A10">
        <v>0.76</v>
      </c>
      <c r="B10" t="s">
        <v>210</v>
      </c>
    </row>
    <row r="11" spans="1:2" x14ac:dyDescent="0.3">
      <c r="A11">
        <v>0.91</v>
      </c>
      <c r="B11" t="s">
        <v>212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Scorecard</vt:lpstr>
      <vt:lpstr>Summary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Jeffrey Bella</cp:lastModifiedBy>
  <cp:revision>1</cp:revision>
  <dcterms:created xsi:type="dcterms:W3CDTF">2026-06-19T12:36:56Z</dcterms:created>
  <dcterms:modified xsi:type="dcterms:W3CDTF">2026-06-19T23:22:31Z</dcterms:modified>
  <dc:language>en-US</dc:language>
</cp:coreProperties>
</file>